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46377avygtelecomconsulti.sharepoint.com/bureau_Poitiers/Documents partages/CONTROLE FACTURATION/Ville de Saintes/GFT 2025/Missions/Lot 1 fixe/"/>
    </mc:Choice>
  </mc:AlternateContent>
  <xr:revisionPtr revIDLastSave="70" documentId="8_{2F98381C-AFF8-4B5D-A627-DF8B5579FBDA}" xr6:coauthVersionLast="47" xr6:coauthVersionMax="47" xr10:uidLastSave="{B6721140-FF07-4DEE-BFFB-F75F435B4196}"/>
  <bookViews>
    <workbookView xWindow="-41388" yWindow="-108" windowWidth="41496" windowHeight="16776" xr2:uid="{FC0492C5-53B3-468B-8330-28C489A0BE1E}"/>
  </bookViews>
  <sheets>
    <sheet name="Lot 1 Fix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9" i="2" l="1"/>
  <c r="AP21" i="2"/>
</calcChain>
</file>

<file path=xl/sharedStrings.xml><?xml version="1.0" encoding="utf-8"?>
<sst xmlns="http://schemas.openxmlformats.org/spreadsheetml/2006/main" count="329" uniqueCount="32">
  <si>
    <t>CDA SAINTES_Environnement</t>
  </si>
  <si>
    <t>Validée</t>
  </si>
  <si>
    <t>CDA SAINTES_Budget principal</t>
  </si>
  <si>
    <t>CCAS - Developpement social</t>
  </si>
  <si>
    <t>CCAS_Foyer Soleil_Les Boiffiers</t>
  </si>
  <si>
    <t>CDA SAINTES_Centre Aquatique</t>
  </si>
  <si>
    <t>CCAS_Hotel de Ville</t>
  </si>
  <si>
    <t>VILLE DE SAINTES_Service Informatique</t>
  </si>
  <si>
    <t>VPN Siège CDA</t>
  </si>
  <si>
    <t>Importée</t>
  </si>
  <si>
    <t>Compte de facturation</t>
  </si>
  <si>
    <t>Nom du compte</t>
  </si>
  <si>
    <t>Janvier</t>
  </si>
  <si>
    <t>n° de facture</t>
  </si>
  <si>
    <t>Statut</t>
  </si>
  <si>
    <t>Février</t>
  </si>
  <si>
    <t>Mars</t>
  </si>
  <si>
    <t>Montant €HT</t>
  </si>
  <si>
    <t>Abo</t>
  </si>
  <si>
    <t>Conso</t>
  </si>
  <si>
    <t>Remise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</si>
  <si>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</si>
  <si>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</si>
  <si>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</si>
  <si>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</si>
  <si>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</si>
  <si>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</si>
  <si>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</si>
  <si>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</si>
  <si>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</si>
  <si>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Résumé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</si>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</sst>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5">
    <xf numFmtId="0" fontId="0" fillId="0" borderId="0" xfId="0"/>
    <xf numFmtId="44" fontId="0" fillId="0" borderId="10" xfId="1" applyFont="1" applyBorder="1"/>
    <xf numFmtId="0" fontId="0" fillId="33" borderId="10" xfId="0" applyFill="1" applyBorder="1"/>
    <xf numFmtId="0" fontId="0" fillId="33" borderId="16" xfId="0" applyFill="1" applyBorder="1" applyAlignment="1">
      <alignment horizontal="left" indent="1"/>
    </xf>
    <xf numFmtId="0" fontId="0" fillId="33" borderId="14" xfId="0" applyFill="1" applyBorder="1"/>
    <xf numFmtId="0" fontId="0" fillId="33" borderId="11" xfId="0" applyFill="1" applyBorder="1"/>
    <xf numFmtId="0" fontId="0" fillId="33" borderId="15" xfId="0" applyFill="1" applyBorder="1" applyAlignment="1">
      <alignment horizontal="left" indent="1"/>
    </xf>
    <xf numFmtId="0" fontId="18" fillId="0" borderId="15" xfId="0" applyFont="1" applyBorder="1" applyAlignment="1">
      <alignment horizontal="right" indent="1"/>
    </xf>
    <xf numFmtId="44" fontId="0" fillId="33" borderId="11" xfId="1" applyFont="1" applyFill="1" applyBorder="1"/>
    <xf numFmtId="0" fontId="0" fillId="0" borderId="14" xfId="0" applyBorder="1"/>
    <xf numFmtId="44" fontId="0" fillId="0" borderId="11" xfId="1" applyFont="1" applyFill="1" applyBorder="1"/>
    <xf numFmtId="0" fontId="0" fillId="0" borderId="15" xfId="0" applyBorder="1" applyAlignment="1">
      <alignment horizontal="left" indent="1"/>
    </xf>
    <xf numFmtId="0" fontId="0" fillId="0" borderId="20" xfId="0" applyBorder="1" applyAlignment="1">
      <alignment horizontal="left" indent="1"/>
    </xf>
    <xf numFmtId="0" fontId="0" fillId="0" borderId="18" xfId="0" applyBorder="1"/>
    <xf numFmtId="44" fontId="0" fillId="0" borderId="19" xfId="1" applyFont="1" applyBorder="1"/>
    <xf numFmtId="0" fontId="0" fillId="33" borderId="18" xfId="0" applyFill="1" applyBorder="1"/>
    <xf numFmtId="0" fontId="0" fillId="33" borderId="19" xfId="0" applyFill="1" applyBorder="1"/>
    <xf numFmtId="0" fontId="0" fillId="33" borderId="20" xfId="0" applyFill="1" applyBorder="1" applyAlignment="1">
      <alignment horizontal="left" indent="1"/>
    </xf>
    <xf numFmtId="44" fontId="0" fillId="0" borderId="19" xfId="1" applyFont="1" applyFill="1" applyBorder="1"/>
    <xf numFmtId="0" fontId="18" fillId="0" borderId="26" xfId="0" applyFont="1" applyBorder="1" applyAlignment="1">
      <alignment horizontal="right" indent="1"/>
    </xf>
    <xf numFmtId="0" fontId="0" fillId="33" borderId="25" xfId="0" applyFill="1" applyBorder="1"/>
    <xf numFmtId="44" fontId="0" fillId="33" borderId="27" xfId="1" applyFont="1" applyFill="1" applyBorder="1"/>
    <xf numFmtId="0" fontId="0" fillId="33" borderId="26" xfId="0" applyFill="1" applyBorder="1" applyAlignment="1">
      <alignment horizontal="left" indent="1"/>
    </xf>
    <xf numFmtId="0" fontId="0" fillId="33" borderId="27" xfId="0" applyFill="1" applyBorder="1"/>
    <xf numFmtId="0" fontId="0" fillId="0" borderId="25" xfId="0" applyBorder="1"/>
    <xf numFmtId="44" fontId="0" fillId="0" borderId="27" xfId="1" applyFont="1" applyFill="1" applyBorder="1"/>
    <xf numFmtId="0" fontId="0" fillId="0" borderId="26" xfId="0" applyBorder="1" applyAlignment="1">
      <alignment horizontal="left" indent="1"/>
    </xf>
    <xf numFmtId="0" fontId="0" fillId="0" borderId="31" xfId="0" applyBorder="1" applyAlignment="1">
      <alignment horizontal="center"/>
    </xf>
    <xf numFmtId="44" fontId="1" fillId="35" borderId="10" xfId="1" applyFont="1" applyFill="1" applyBorder="1"/>
    <xf numFmtId="0" fontId="0" fillId="36" borderId="20" xfId="0" applyFill="1" applyBorder="1" applyAlignment="1">
      <alignment horizontal="left" indent="1"/>
    </xf>
    <xf numFmtId="44" fontId="0" fillId="33" borderId="19" xfId="1" applyFont="1" applyFill="1" applyBorder="1"/>
    <xf numFmtId="44" fontId="0" fillId="33" borderId="10" xfId="1" applyFont="1" applyFill="1" applyBorder="1"/>
    <xf numFmtId="0" fontId="0" fillId="33" borderId="33" xfId="0" applyFill="1" applyBorder="1"/>
    <xf numFmtId="0" fontId="0" fillId="33" borderId="28" xfId="0" applyFill="1" applyBorder="1"/>
    <xf numFmtId="0" fontId="0" fillId="33" borderId="29" xfId="0" applyFill="1" applyBorder="1"/>
    <xf numFmtId="0" fontId="18" fillId="0" borderId="10" xfId="0" applyFont="1" applyBorder="1" applyAlignment="1">
      <alignment horizontal="center" vertical="center"/>
    </xf>
    <xf numFmtId="0" fontId="0" fillId="33" borderId="30" xfId="0" applyFill="1" applyBorder="1"/>
    <xf numFmtId="44" fontId="0" fillId="33" borderId="21" xfId="1" applyFont="1" applyFill="1" applyBorder="1"/>
    <xf numFmtId="0" fontId="0" fillId="33" borderId="17" xfId="0" applyFill="1" applyBorder="1" applyAlignment="1">
      <alignment horizontal="left" indent="1"/>
    </xf>
    <xf numFmtId="0" fontId="0" fillId="0" borderId="3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4" xfId="0" applyBorder="1" applyAlignment="1">
      <alignment horizontal="left" indent="1"/>
    </xf>
    <xf numFmtId="0" fontId="0" fillId="0" borderId="37" xfId="0" applyBorder="1" applyAlignment="1">
      <alignment horizontal="center"/>
    </xf>
    <xf numFmtId="44" fontId="0" fillId="0" borderId="11" xfId="1" applyFont="1" applyBorder="1"/>
    <xf numFmtId="0" fontId="0" fillId="36" borderId="15" xfId="0" applyFill="1" applyBorder="1" applyAlignment="1">
      <alignment horizontal="left" indent="1"/>
    </xf>
    <xf numFmtId="0" fontId="0" fillId="33" borderId="21" xfId="0" applyFill="1" applyBorder="1"/>
    <xf numFmtId="0" fontId="18" fillId="0" borderId="1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0" fillId="33" borderId="32" xfId="0" applyFill="1" applyBorder="1"/>
    <xf numFmtId="44" fontId="1" fillId="33" borderId="21" xfId="1" applyFont="1" applyFill="1" applyBorder="1"/>
    <xf numFmtId="44" fontId="16" fillId="0" borderId="19" xfId="1" applyFont="1" applyBorder="1"/>
    <xf numFmtId="44" fontId="0" fillId="0" borderId="21" xfId="1" applyFont="1" applyBorder="1"/>
    <xf numFmtId="44" fontId="0" fillId="35" borderId="19" xfId="1" applyFont="1" applyFill="1" applyBorder="1"/>
    <xf numFmtId="44" fontId="0" fillId="35" borderId="10" xfId="1" applyFont="1" applyFill="1" applyBorder="1"/>
    <xf numFmtId="44" fontId="0" fillId="35" borderId="21" xfId="1" applyFont="1" applyFill="1" applyBorder="1"/>
    <xf numFmtId="44" fontId="1" fillId="33" borderId="10" xfId="1" applyFont="1" applyFill="1" applyBorder="1"/>
    <xf numFmtId="44" fontId="16" fillId="35" borderId="19" xfId="1" applyFont="1" applyFill="1" applyBorder="1"/>
    <xf numFmtId="44" fontId="16" fillId="35" borderId="11" xfId="1" applyFont="1" applyFill="1" applyBorder="1"/>
    <xf numFmtId="0" fontId="18" fillId="33" borderId="19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3" borderId="21" xfId="0" applyFont="1" applyFill="1" applyBorder="1" applyAlignment="1">
      <alignment horizontal="center" vertical="center"/>
    </xf>
    <xf numFmtId="0" fontId="16" fillId="0" borderId="0" xfId="0" applyFont="1"/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6" borderId="35" xfId="0" applyFill="1" applyBorder="1" applyAlignment="1">
      <alignment horizontal="center" vertical="center"/>
    </xf>
    <xf numFmtId="0" fontId="0" fillId="36" borderId="2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3" fillId="34" borderId="12" xfId="0" applyFont="1" applyFill="1" applyBorder="1" applyAlignment="1">
      <alignment horizontal="center" vertical="center" wrapText="1"/>
    </xf>
    <xf numFmtId="0" fontId="13" fillId="34" borderId="25" xfId="0" applyFont="1" applyFill="1" applyBorder="1" applyAlignment="1">
      <alignment horizontal="center" vertical="center" wrapText="1"/>
    </xf>
    <xf numFmtId="0" fontId="13" fillId="34" borderId="13" xfId="0" applyFont="1" applyFill="1" applyBorder="1" applyAlignment="1">
      <alignment horizontal="center" vertical="center"/>
    </xf>
    <xf numFmtId="0" fontId="13" fillId="34" borderId="26" xfId="0" applyFont="1" applyFill="1" applyBorder="1" applyAlignment="1">
      <alignment horizontal="center" vertical="center"/>
    </xf>
    <xf numFmtId="44" fontId="1" fillId="0" borderId="10" xfId="1" applyFont="1" applyFill="1" applyBorder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onétaire" xfId="1" builtinId="4"/>
    <cellStyle name="Neutre" xfId="9" builtinId="28" customBuiltin="1"/>
    <cellStyle name="Normal" xfId="0" builtinId="0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F0C3-EBC7-4A87-AA49-C4C60FD4A25D}">
  <dimension ref="A1:AT38"/>
  <sheetViews>
    <sheetView tabSelected="1" workbookViewId="0">
      <pane xSplit="1" topLeftCell="S1" activePane="topRight" state="frozen"/>
      <selection pane="topRight" activeCell="AQ7" sqref="AQ7:AQ10"/>
    </sheetView>
  </sheetViews>
  <sheetFormatPr baseColWidth="10" defaultRowHeight="14.4" x14ac:dyDescent="0.3"/>
  <cols>
    <col min="1" max="1" width="17.21875" customWidth="1"/>
    <col min="2" max="2" width="36.88671875" customWidth="1"/>
    <col min="3" max="3" width="14.5546875" customWidth="1"/>
    <col min="4" max="4" width="14.21875" customWidth="1"/>
    <col min="5" max="5" width="12.109375" customWidth="1"/>
    <col min="6" max="6" width="14.5546875" customWidth="1"/>
    <col min="7" max="7" width="14.21875" customWidth="1"/>
    <col min="8" max="8" width="12.109375" customWidth="1"/>
    <col min="9" max="9" width="14.5546875" customWidth="1"/>
    <col min="10" max="10" width="14.21875" customWidth="1"/>
    <col min="11" max="11" width="12.109375" customWidth="1"/>
    <col min="12" max="12" width="14.5546875" customWidth="1"/>
    <col min="13" max="13" width="8.44140625" customWidth="1"/>
    <col min="14" max="14" width="14.21875" customWidth="1"/>
    <col min="15" max="15" width="12.109375" customWidth="1"/>
    <col min="16" max="16" width="14.5546875" customWidth="1"/>
    <col min="17" max="17" width="8.44140625" customWidth="1"/>
    <col min="18" max="18" width="14.21875" customWidth="1"/>
    <col min="19" max="19" width="12.109375" customWidth="1"/>
    <col min="20" max="20" width="14.5546875" customWidth="1"/>
    <col min="21" max="21" width="8.44140625" customWidth="1"/>
    <col min="22" max="22" width="14.21875" customWidth="1"/>
    <col min="23" max="23" width="12.109375" customWidth="1"/>
    <col min="24" max="24" width="14.5546875" customWidth="1"/>
    <col min="25" max="25" width="8.44140625" customWidth="1"/>
    <col min="26" max="26" width="14.21875" customWidth="1"/>
    <col min="27" max="27" width="12.109375" customWidth="1"/>
    <col min="28" max="28" width="14.5546875" customWidth="1"/>
    <col min="29" max="29" width="8.44140625" customWidth="1"/>
    <col min="30" max="30" width="14.21875" customWidth="1"/>
    <col min="31" max="31" width="12.109375" customWidth="1"/>
    <col min="32" max="32" width="14.5546875" customWidth="1"/>
    <col min="33" max="33" width="8.44140625" customWidth="1"/>
    <col min="34" max="34" width="14.21875" customWidth="1"/>
    <col min="35" max="35" width="12.109375" customWidth="1"/>
    <col min="36" max="36" width="14.5546875" customWidth="1"/>
    <col min="37" max="37" width="8.44140625" customWidth="1"/>
    <col min="38" max="38" width="14.21875" customWidth="1"/>
    <col min="39" max="39" width="12.109375" customWidth="1"/>
    <col min="40" max="40" width="14.5546875" customWidth="1"/>
    <col min="41" max="41" width="8.44140625" customWidth="1"/>
    <col min="42" max="42" width="14.21875" customWidth="1"/>
    <col min="43" max="43" width="12.109375" customWidth="1"/>
    <col min="44" max="44" width="14.5546875" customWidth="1"/>
    <col min="45" max="45" width="14.21875" customWidth="1"/>
    <col min="46" max="46" width="12.109375" customWidth="1"/>
  </cols>
  <sheetData>
    <row r="1" spans="1:46" x14ac:dyDescent="0.3">
      <c r="A1" s="80" t="s">
        <v>10</v>
      </c>
      <c r="B1" s="82" t="s">
        <v>11</v>
      </c>
      <c r="C1" s="77" t="s">
        <v>12</v>
      </c>
      <c r="D1" s="78"/>
      <c r="E1" s="79"/>
      <c r="F1" s="77" t="s">
        <v>15</v>
      </c>
      <c r="G1" s="78"/>
      <c r="H1" s="79"/>
      <c r="I1" s="74" t="s">
        <v>16</v>
      </c>
      <c r="J1" s="75"/>
      <c r="K1" s="76"/>
      <c r="L1" s="75" t="s">
        <v>21</v>
      </c>
      <c r="M1" s="75"/>
      <c r="N1" s="75"/>
      <c r="O1" s="76"/>
      <c r="P1" s="74" t="s">
        <v>22</v>
      </c>
      <c r="Q1" s="75"/>
      <c r="R1" s="75"/>
      <c r="S1" s="76"/>
      <c r="T1" s="74" t="s">
        <v>23</v>
      </c>
      <c r="U1" s="75"/>
      <c r="V1" s="75"/>
      <c r="W1" s="76"/>
      <c r="X1" s="74" t="s">
        <v>24</v>
      </c>
      <c r="Y1" s="75"/>
      <c r="Z1" s="75"/>
      <c r="AA1" s="76"/>
      <c r="AB1" s="74" t="s">
        <v>25</v>
      </c>
      <c r="AC1" s="75"/>
      <c r="AD1" s="75"/>
      <c r="AE1" s="76"/>
      <c r="AF1" s="74" t="s">
        <v>26</v>
      </c>
      <c r="AG1" s="75"/>
      <c r="AH1" s="75"/>
      <c r="AI1" s="76"/>
      <c r="AJ1" s="74" t="s">
        <v>27</v>
      </c>
      <c r="AK1" s="75"/>
      <c r="AL1" s="75"/>
      <c r="AM1" s="76"/>
      <c r="AN1" s="74" t="s">
        <v>28</v>
      </c>
      <c r="AO1" s="75"/>
      <c r="AP1" s="75"/>
      <c r="AQ1" s="76"/>
      <c r="AR1" s="74" t="s">
        <v>29</v>
      </c>
      <c r="AS1" s="75"/>
      <c r="AT1" s="76"/>
    </row>
    <row r="2" spans="1:46" ht="15" thickBot="1" x14ac:dyDescent="0.35">
      <c r="A2" s="81"/>
      <c r="B2" s="83"/>
      <c r="C2" s="39" t="s">
        <v>13</v>
      </c>
      <c r="D2" s="27" t="s">
        <v>17</v>
      </c>
      <c r="E2" s="40" t="s">
        <v>14</v>
      </c>
      <c r="F2" s="39" t="s">
        <v>13</v>
      </c>
      <c r="G2" s="27" t="s">
        <v>17</v>
      </c>
      <c r="H2" s="41" t="s">
        <v>14</v>
      </c>
      <c r="I2" s="39" t="s">
        <v>13</v>
      </c>
      <c r="J2" s="27" t="s">
        <v>17</v>
      </c>
      <c r="K2" s="40" t="s">
        <v>14</v>
      </c>
      <c r="L2" s="42" t="s">
        <v>13</v>
      </c>
      <c r="M2" s="42" t="s">
        <v>30</v>
      </c>
      <c r="N2" s="27" t="s">
        <v>17</v>
      </c>
      <c r="O2" s="40" t="s">
        <v>14</v>
      </c>
      <c r="P2" s="39" t="s">
        <v>13</v>
      </c>
      <c r="Q2" s="42" t="s">
        <v>30</v>
      </c>
      <c r="R2" s="27" t="s">
        <v>17</v>
      </c>
      <c r="S2" s="40" t="s">
        <v>14</v>
      </c>
      <c r="T2" s="39" t="s">
        <v>13</v>
      </c>
      <c r="U2" s="42" t="s">
        <v>30</v>
      </c>
      <c r="V2" s="27" t="s">
        <v>17</v>
      </c>
      <c r="W2" s="40" t="s">
        <v>14</v>
      </c>
      <c r="X2" s="39" t="s">
        <v>13</v>
      </c>
      <c r="Y2" s="42" t="s">
        <v>30</v>
      </c>
      <c r="Z2" s="27" t="s">
        <v>17</v>
      </c>
      <c r="AA2" s="40" t="s">
        <v>14</v>
      </c>
      <c r="AB2" s="39" t="s">
        <v>13</v>
      </c>
      <c r="AC2" s="42" t="s">
        <v>30</v>
      </c>
      <c r="AD2" s="27" t="s">
        <v>17</v>
      </c>
      <c r="AE2" s="40" t="s">
        <v>14</v>
      </c>
      <c r="AF2" s="39" t="s">
        <v>13</v>
      </c>
      <c r="AG2" s="42" t="s">
        <v>30</v>
      </c>
      <c r="AH2" s="27" t="s">
        <v>17</v>
      </c>
      <c r="AI2" s="40" t="s">
        <v>14</v>
      </c>
      <c r="AJ2" s="39" t="s">
        <v>13</v>
      </c>
      <c r="AK2" s="42" t="s">
        <v>30</v>
      </c>
      <c r="AL2" s="27" t="s">
        <v>17</v>
      </c>
      <c r="AM2" s="40" t="s">
        <v>14</v>
      </c>
      <c r="AN2" s="39" t="s">
        <v>13</v>
      </c>
      <c r="AO2" s="42" t="s">
        <v>30</v>
      </c>
      <c r="AP2" s="27" t="s">
        <v>17</v>
      </c>
      <c r="AQ2" s="40" t="s">
        <v>14</v>
      </c>
      <c r="AR2" s="39" t="s">
        <v>13</v>
      </c>
      <c r="AS2" s="27" t="s">
        <v>17</v>
      </c>
      <c r="AT2" s="40" t="s">
        <v>14</v>
      </c>
    </row>
    <row r="3" spans="1:46" x14ac:dyDescent="0.3">
      <c r="A3" s="62">
        <v>803464838</v>
      </c>
      <c r="B3" s="12" t="s">
        <v>0</v>
      </c>
      <c r="C3" s="13">
        <v>299552303</v>
      </c>
      <c r="D3" s="14">
        <v>217.3</v>
      </c>
      <c r="E3" s="29" t="s">
        <v>1</v>
      </c>
      <c r="F3" s="15"/>
      <c r="G3" s="16"/>
      <c r="H3" s="17"/>
      <c r="I3" s="13">
        <v>300462396</v>
      </c>
      <c r="J3" s="14">
        <v>222.02</v>
      </c>
      <c r="K3" s="29" t="s">
        <v>1</v>
      </c>
      <c r="L3" s="32"/>
      <c r="M3" s="32"/>
      <c r="N3" s="30"/>
      <c r="O3" s="17"/>
      <c r="P3" s="65">
        <v>9642918016</v>
      </c>
      <c r="Q3" s="46" t="s">
        <v>31</v>
      </c>
      <c r="R3" s="56">
        <v>220.13</v>
      </c>
      <c r="S3" s="68" t="s">
        <v>1</v>
      </c>
      <c r="T3" s="15"/>
      <c r="U3" s="58"/>
      <c r="V3" s="16"/>
      <c r="W3" s="17"/>
      <c r="X3" s="65">
        <v>302228373</v>
      </c>
      <c r="Y3" s="46" t="s">
        <v>31</v>
      </c>
      <c r="Z3" s="56">
        <v>229.9</v>
      </c>
      <c r="AA3" s="68" t="s">
        <v>1</v>
      </c>
      <c r="AB3" s="15"/>
      <c r="AC3" s="58"/>
      <c r="AD3" s="16"/>
      <c r="AE3" s="17"/>
      <c r="AF3" s="65">
        <v>303110797</v>
      </c>
      <c r="AG3" s="46" t="s">
        <v>31</v>
      </c>
      <c r="AH3" s="56">
        <v>221.42</v>
      </c>
      <c r="AI3" s="68" t="s">
        <v>1</v>
      </c>
      <c r="AJ3" s="15"/>
      <c r="AK3" s="58"/>
      <c r="AL3" s="16"/>
      <c r="AM3" s="17"/>
      <c r="AN3" s="65">
        <v>303704208</v>
      </c>
      <c r="AO3" s="46" t="s">
        <v>31</v>
      </c>
      <c r="AP3" s="56">
        <v>219.52</v>
      </c>
      <c r="AQ3" s="68" t="s">
        <v>1</v>
      </c>
      <c r="AR3" s="13"/>
      <c r="AS3" s="18"/>
      <c r="AT3" s="12"/>
    </row>
    <row r="4" spans="1:46" x14ac:dyDescent="0.3">
      <c r="A4" s="63"/>
      <c r="B4" s="7" t="s">
        <v>18</v>
      </c>
      <c r="C4" s="4"/>
      <c r="D4" s="8"/>
      <c r="E4" s="6"/>
      <c r="F4" s="4"/>
      <c r="G4" s="5"/>
      <c r="H4" s="6"/>
      <c r="I4" s="4"/>
      <c r="J4" s="8"/>
      <c r="K4" s="6"/>
      <c r="L4" s="33"/>
      <c r="M4" s="33"/>
      <c r="N4" s="8"/>
      <c r="O4" s="6"/>
      <c r="P4" s="66"/>
      <c r="Q4" s="35" t="s">
        <v>18</v>
      </c>
      <c r="R4" s="53">
        <v>206.87</v>
      </c>
      <c r="S4" s="69"/>
      <c r="T4" s="4"/>
      <c r="U4" s="59"/>
      <c r="V4" s="2"/>
      <c r="W4" s="6"/>
      <c r="X4" s="66"/>
      <c r="Y4" s="35" t="s">
        <v>18</v>
      </c>
      <c r="Z4" s="53">
        <v>206.87</v>
      </c>
      <c r="AA4" s="69"/>
      <c r="AB4" s="4"/>
      <c r="AC4" s="59"/>
      <c r="AD4" s="2"/>
      <c r="AE4" s="6"/>
      <c r="AF4" s="66"/>
      <c r="AG4" s="35" t="s">
        <v>18</v>
      </c>
      <c r="AH4" s="53">
        <v>206.87</v>
      </c>
      <c r="AI4" s="69"/>
      <c r="AJ4" s="4"/>
      <c r="AK4" s="59"/>
      <c r="AL4" s="2"/>
      <c r="AM4" s="6"/>
      <c r="AN4" s="66"/>
      <c r="AO4" s="35" t="s">
        <v>18</v>
      </c>
      <c r="AP4" s="53">
        <v>206.87</v>
      </c>
      <c r="AQ4" s="69"/>
      <c r="AR4" s="9"/>
      <c r="AS4" s="10"/>
      <c r="AT4" s="11"/>
    </row>
    <row r="5" spans="1:46" x14ac:dyDescent="0.3">
      <c r="A5" s="63"/>
      <c r="B5" s="7" t="s">
        <v>19</v>
      </c>
      <c r="C5" s="4"/>
      <c r="D5" s="8"/>
      <c r="E5" s="6"/>
      <c r="F5" s="4"/>
      <c r="G5" s="5"/>
      <c r="H5" s="6"/>
      <c r="I5" s="4"/>
      <c r="J5" s="8"/>
      <c r="K5" s="6"/>
      <c r="L5" s="33"/>
      <c r="M5" s="33"/>
      <c r="N5" s="8"/>
      <c r="O5" s="6"/>
      <c r="P5" s="66"/>
      <c r="Q5" s="35" t="s">
        <v>19</v>
      </c>
      <c r="R5" s="53">
        <v>13.259999999999998</v>
      </c>
      <c r="S5" s="69"/>
      <c r="T5" s="4"/>
      <c r="U5" s="59"/>
      <c r="V5" s="2"/>
      <c r="W5" s="6"/>
      <c r="X5" s="66"/>
      <c r="Y5" s="35" t="s">
        <v>19</v>
      </c>
      <c r="Z5" s="53">
        <v>23.029999999999998</v>
      </c>
      <c r="AA5" s="69"/>
      <c r="AB5" s="4"/>
      <c r="AC5" s="59"/>
      <c r="AD5" s="2"/>
      <c r="AE5" s="6"/>
      <c r="AF5" s="66"/>
      <c r="AG5" s="35" t="s">
        <v>19</v>
      </c>
      <c r="AH5" s="53">
        <v>14.549999999999994</v>
      </c>
      <c r="AI5" s="69"/>
      <c r="AJ5" s="4"/>
      <c r="AK5" s="59"/>
      <c r="AL5" s="2"/>
      <c r="AM5" s="6"/>
      <c r="AN5" s="66"/>
      <c r="AO5" s="35" t="s">
        <v>19</v>
      </c>
      <c r="AP5" s="53">
        <v>12.65</v>
      </c>
      <c r="AQ5" s="69"/>
      <c r="AR5" s="9"/>
      <c r="AS5" s="10"/>
      <c r="AT5" s="11"/>
    </row>
    <row r="6" spans="1:46" ht="15" thickBot="1" x14ac:dyDescent="0.35">
      <c r="A6" s="64"/>
      <c r="B6" s="19" t="s">
        <v>20</v>
      </c>
      <c r="C6" s="20"/>
      <c r="D6" s="21"/>
      <c r="E6" s="22"/>
      <c r="F6" s="20"/>
      <c r="G6" s="23"/>
      <c r="H6" s="22"/>
      <c r="I6" s="20"/>
      <c r="J6" s="21"/>
      <c r="K6" s="22"/>
      <c r="L6" s="36"/>
      <c r="M6" s="36"/>
      <c r="N6" s="21"/>
      <c r="O6" s="22"/>
      <c r="P6" s="67"/>
      <c r="Q6" s="47" t="s">
        <v>20</v>
      </c>
      <c r="R6" s="49"/>
      <c r="S6" s="70"/>
      <c r="T6" s="20"/>
      <c r="U6" s="60"/>
      <c r="V6" s="49"/>
      <c r="W6" s="22"/>
      <c r="X6" s="67"/>
      <c r="Y6" s="47" t="s">
        <v>20</v>
      </c>
      <c r="Z6" s="49"/>
      <c r="AA6" s="70"/>
      <c r="AB6" s="20"/>
      <c r="AC6" s="60"/>
      <c r="AD6" s="49"/>
      <c r="AE6" s="22"/>
      <c r="AF6" s="67"/>
      <c r="AG6" s="47" t="s">
        <v>20</v>
      </c>
      <c r="AH6" s="49"/>
      <c r="AI6" s="70"/>
      <c r="AJ6" s="20"/>
      <c r="AK6" s="60"/>
      <c r="AL6" s="49"/>
      <c r="AM6" s="22"/>
      <c r="AN6" s="67"/>
      <c r="AO6" s="47" t="s">
        <v>20</v>
      </c>
      <c r="AP6" s="49"/>
      <c r="AQ6" s="70"/>
      <c r="AR6" s="24"/>
      <c r="AS6" s="25"/>
      <c r="AT6" s="26"/>
    </row>
    <row r="7" spans="1:46" x14ac:dyDescent="0.3">
      <c r="A7" s="62">
        <v>803464824</v>
      </c>
      <c r="B7" s="12" t="s">
        <v>2</v>
      </c>
      <c r="C7" s="13">
        <v>299577216</v>
      </c>
      <c r="D7" s="14">
        <v>616.16999999999996</v>
      </c>
      <c r="E7" s="29" t="s">
        <v>1</v>
      </c>
      <c r="F7" s="15"/>
      <c r="G7" s="16"/>
      <c r="H7" s="17"/>
      <c r="I7" s="13">
        <v>300463295</v>
      </c>
      <c r="J7" s="14">
        <v>671.19</v>
      </c>
      <c r="K7" s="29" t="s">
        <v>1</v>
      </c>
      <c r="L7" s="32"/>
      <c r="M7" s="32"/>
      <c r="N7" s="30"/>
      <c r="O7" s="17"/>
      <c r="P7" s="65">
        <v>6027355880</v>
      </c>
      <c r="Q7" s="46" t="s">
        <v>31</v>
      </c>
      <c r="R7" s="56">
        <v>651.47</v>
      </c>
      <c r="S7" s="68" t="s">
        <v>1</v>
      </c>
      <c r="T7" s="15"/>
      <c r="U7" s="58"/>
      <c r="V7" s="16"/>
      <c r="W7" s="17"/>
      <c r="X7" s="65">
        <v>302256375</v>
      </c>
      <c r="Y7" s="46" t="s">
        <v>31</v>
      </c>
      <c r="Z7" s="56">
        <v>591.48000000000025</v>
      </c>
      <c r="AA7" s="68" t="s">
        <v>1</v>
      </c>
      <c r="AB7" s="15"/>
      <c r="AC7" s="58"/>
      <c r="AD7" s="16"/>
      <c r="AE7" s="17"/>
      <c r="AF7" s="65">
        <v>303087792</v>
      </c>
      <c r="AG7" s="46" t="s">
        <v>31</v>
      </c>
      <c r="AH7" s="56">
        <v>360.09000000000009</v>
      </c>
      <c r="AI7" s="68" t="s">
        <v>1</v>
      </c>
      <c r="AJ7" s="15"/>
      <c r="AK7" s="58"/>
      <c r="AL7" s="16"/>
      <c r="AM7" s="17"/>
      <c r="AN7" s="65">
        <v>303704545</v>
      </c>
      <c r="AO7" s="46" t="s">
        <v>31</v>
      </c>
      <c r="AP7" s="56">
        <v>781.45</v>
      </c>
      <c r="AQ7" s="68" t="s">
        <v>1</v>
      </c>
      <c r="AR7" s="13"/>
      <c r="AS7" s="18"/>
      <c r="AT7" s="12"/>
    </row>
    <row r="8" spans="1:46" x14ac:dyDescent="0.3">
      <c r="A8" s="63"/>
      <c r="B8" s="7" t="s">
        <v>18</v>
      </c>
      <c r="C8" s="4"/>
      <c r="D8" s="8"/>
      <c r="E8" s="6"/>
      <c r="F8" s="4"/>
      <c r="G8" s="5"/>
      <c r="H8" s="6"/>
      <c r="I8" s="4"/>
      <c r="J8" s="8"/>
      <c r="K8" s="6"/>
      <c r="L8" s="33"/>
      <c r="M8" s="33"/>
      <c r="N8" s="8"/>
      <c r="O8" s="6"/>
      <c r="P8" s="66"/>
      <c r="Q8" s="35" t="s">
        <v>18</v>
      </c>
      <c r="R8" s="53">
        <v>581.64</v>
      </c>
      <c r="S8" s="69"/>
      <c r="T8" s="4"/>
      <c r="U8" s="59"/>
      <c r="V8" s="2"/>
      <c r="W8" s="6"/>
      <c r="X8" s="66"/>
      <c r="Y8" s="35" t="s">
        <v>18</v>
      </c>
      <c r="Z8" s="53">
        <v>581.64</v>
      </c>
      <c r="AA8" s="69"/>
      <c r="AB8" s="4"/>
      <c r="AC8" s="59"/>
      <c r="AD8" s="2"/>
      <c r="AE8" s="6"/>
      <c r="AF8" s="66"/>
      <c r="AG8" s="35" t="s">
        <v>18</v>
      </c>
      <c r="AH8" s="53">
        <v>584.63</v>
      </c>
      <c r="AI8" s="69"/>
      <c r="AJ8" s="4"/>
      <c r="AK8" s="59"/>
      <c r="AL8" s="2"/>
      <c r="AM8" s="6"/>
      <c r="AN8" s="66"/>
      <c r="AO8" s="35" t="s">
        <v>18</v>
      </c>
      <c r="AP8" s="53">
        <v>583.46</v>
      </c>
      <c r="AQ8" s="69"/>
      <c r="AR8" s="9"/>
      <c r="AS8" s="10"/>
      <c r="AT8" s="11"/>
    </row>
    <row r="9" spans="1:46" x14ac:dyDescent="0.3">
      <c r="A9" s="63"/>
      <c r="B9" s="7" t="s">
        <v>19</v>
      </c>
      <c r="C9" s="4"/>
      <c r="D9" s="8"/>
      <c r="E9" s="6"/>
      <c r="F9" s="4"/>
      <c r="G9" s="5"/>
      <c r="H9" s="6"/>
      <c r="I9" s="4"/>
      <c r="J9" s="8"/>
      <c r="K9" s="6"/>
      <c r="L9" s="33"/>
      <c r="M9" s="33"/>
      <c r="N9" s="8"/>
      <c r="O9" s="6"/>
      <c r="P9" s="66"/>
      <c r="Q9" s="35" t="s">
        <v>19</v>
      </c>
      <c r="R9" s="53">
        <v>323.65000000000009</v>
      </c>
      <c r="S9" s="69"/>
      <c r="T9" s="4"/>
      <c r="U9" s="59"/>
      <c r="V9" s="2"/>
      <c r="W9" s="6"/>
      <c r="X9" s="66"/>
      <c r="Y9" s="35" t="s">
        <v>19</v>
      </c>
      <c r="Z9" s="53">
        <v>263.6600000000002</v>
      </c>
      <c r="AA9" s="69"/>
      <c r="AB9" s="4"/>
      <c r="AC9" s="59"/>
      <c r="AD9" s="2"/>
      <c r="AE9" s="6"/>
      <c r="AF9" s="66"/>
      <c r="AG9" s="35" t="s">
        <v>19</v>
      </c>
      <c r="AH9" s="53">
        <v>198.59000000000006</v>
      </c>
      <c r="AI9" s="69"/>
      <c r="AJ9" s="4"/>
      <c r="AK9" s="59"/>
      <c r="AL9" s="2"/>
      <c r="AM9" s="6"/>
      <c r="AN9" s="66"/>
      <c r="AO9" s="35" t="s">
        <v>19</v>
      </c>
      <c r="AP9" s="53">
        <v>267.38</v>
      </c>
      <c r="AQ9" s="69"/>
      <c r="AR9" s="9"/>
      <c r="AS9" s="10"/>
      <c r="AT9" s="11"/>
    </row>
    <row r="10" spans="1:46" ht="15" thickBot="1" x14ac:dyDescent="0.35">
      <c r="A10" s="64"/>
      <c r="B10" s="19" t="s">
        <v>20</v>
      </c>
      <c r="C10" s="20"/>
      <c r="D10" s="21"/>
      <c r="E10" s="22"/>
      <c r="F10" s="20"/>
      <c r="G10" s="23"/>
      <c r="H10" s="22"/>
      <c r="I10" s="20"/>
      <c r="J10" s="21"/>
      <c r="K10" s="22"/>
      <c r="L10" s="36"/>
      <c r="M10" s="36"/>
      <c r="N10" s="21"/>
      <c r="O10" s="22"/>
      <c r="P10" s="67"/>
      <c r="Q10" s="47" t="s">
        <v>20</v>
      </c>
      <c r="R10" s="54">
        <v>-253.82</v>
      </c>
      <c r="S10" s="70"/>
      <c r="T10" s="20"/>
      <c r="U10" s="60"/>
      <c r="V10" s="45"/>
      <c r="W10" s="22"/>
      <c r="X10" s="67"/>
      <c r="Y10" s="47" t="s">
        <v>20</v>
      </c>
      <c r="Z10" s="54">
        <v>-253.82</v>
      </c>
      <c r="AA10" s="70"/>
      <c r="AB10" s="20"/>
      <c r="AC10" s="60"/>
      <c r="AD10" s="45"/>
      <c r="AE10" s="22"/>
      <c r="AF10" s="67"/>
      <c r="AG10" s="47" t="s">
        <v>20</v>
      </c>
      <c r="AH10" s="54">
        <v>-423.12999999999994</v>
      </c>
      <c r="AI10" s="70"/>
      <c r="AJ10" s="20"/>
      <c r="AK10" s="60"/>
      <c r="AL10" s="45"/>
      <c r="AM10" s="22"/>
      <c r="AN10" s="67"/>
      <c r="AO10" s="47" t="s">
        <v>20</v>
      </c>
      <c r="AP10" s="54">
        <v>-69.39</v>
      </c>
      <c r="AQ10" s="70"/>
      <c r="AR10" s="24"/>
      <c r="AS10" s="25"/>
      <c r="AT10" s="26"/>
    </row>
    <row r="11" spans="1:46" x14ac:dyDescent="0.3">
      <c r="A11" s="62">
        <v>2380160</v>
      </c>
      <c r="B11" s="12" t="s">
        <v>3</v>
      </c>
      <c r="C11" s="13">
        <v>299575931</v>
      </c>
      <c r="D11" s="14">
        <v>159.91</v>
      </c>
      <c r="E11" s="29" t="s">
        <v>1</v>
      </c>
      <c r="F11" s="15"/>
      <c r="G11" s="16"/>
      <c r="H11" s="17"/>
      <c r="I11" s="13">
        <v>300470480</v>
      </c>
      <c r="J11" s="14">
        <v>159.51</v>
      </c>
      <c r="K11" s="29" t="s">
        <v>1</v>
      </c>
      <c r="L11" s="32"/>
      <c r="M11" s="32"/>
      <c r="N11" s="30"/>
      <c r="O11" s="17"/>
      <c r="P11" s="65">
        <v>301368178</v>
      </c>
      <c r="Q11" s="46" t="s">
        <v>31</v>
      </c>
      <c r="R11" s="56">
        <v>164.44999999999993</v>
      </c>
      <c r="S11" s="68" t="s">
        <v>1</v>
      </c>
      <c r="T11" s="15"/>
      <c r="U11" s="58"/>
      <c r="V11" s="16"/>
      <c r="W11" s="17"/>
      <c r="X11" s="65">
        <v>302261623</v>
      </c>
      <c r="Y11" s="46" t="s">
        <v>31</v>
      </c>
      <c r="Z11" s="56">
        <v>160.43999999999994</v>
      </c>
      <c r="AA11" s="68" t="s">
        <v>1</v>
      </c>
      <c r="AB11" s="15"/>
      <c r="AC11" s="58"/>
      <c r="AD11" s="16"/>
      <c r="AE11" s="17"/>
      <c r="AF11" s="65">
        <v>302997761</v>
      </c>
      <c r="AG11" s="46" t="s">
        <v>31</v>
      </c>
      <c r="AH11" s="56">
        <v>164.05999999999995</v>
      </c>
      <c r="AI11" s="68" t="s">
        <v>1</v>
      </c>
      <c r="AJ11" s="15"/>
      <c r="AK11" s="58"/>
      <c r="AL11" s="16"/>
      <c r="AM11" s="17"/>
      <c r="AN11" s="65">
        <v>303782319</v>
      </c>
      <c r="AO11" s="46" t="s">
        <v>31</v>
      </c>
      <c r="AP11" s="56">
        <v>162.26</v>
      </c>
      <c r="AQ11" s="68" t="s">
        <v>1</v>
      </c>
      <c r="AR11" s="13"/>
      <c r="AS11" s="18"/>
      <c r="AT11" s="12"/>
    </row>
    <row r="12" spans="1:46" x14ac:dyDescent="0.3">
      <c r="A12" s="63"/>
      <c r="B12" s="7" t="s">
        <v>18</v>
      </c>
      <c r="C12" s="4"/>
      <c r="D12" s="8"/>
      <c r="E12" s="6"/>
      <c r="F12" s="4"/>
      <c r="G12" s="5"/>
      <c r="H12" s="6"/>
      <c r="I12" s="4"/>
      <c r="J12" s="8"/>
      <c r="K12" s="6"/>
      <c r="L12" s="33"/>
      <c r="M12" s="33"/>
      <c r="N12" s="8"/>
      <c r="O12" s="6"/>
      <c r="P12" s="66"/>
      <c r="Q12" s="35" t="s">
        <v>18</v>
      </c>
      <c r="R12" s="53">
        <v>143.58999999999995</v>
      </c>
      <c r="S12" s="69"/>
      <c r="T12" s="4"/>
      <c r="U12" s="59"/>
      <c r="V12" s="2"/>
      <c r="W12" s="6"/>
      <c r="X12" s="66"/>
      <c r="Y12" s="35" t="s">
        <v>18</v>
      </c>
      <c r="Z12" s="53">
        <v>143.58999999999995</v>
      </c>
      <c r="AA12" s="69"/>
      <c r="AB12" s="4"/>
      <c r="AC12" s="59"/>
      <c r="AD12" s="2"/>
      <c r="AE12" s="6"/>
      <c r="AF12" s="66"/>
      <c r="AG12" s="35" t="s">
        <v>18</v>
      </c>
      <c r="AH12" s="53">
        <v>143.58999999999995</v>
      </c>
      <c r="AI12" s="69"/>
      <c r="AJ12" s="4"/>
      <c r="AK12" s="59"/>
      <c r="AL12" s="2"/>
      <c r="AM12" s="6"/>
      <c r="AN12" s="66"/>
      <c r="AO12" s="35" t="s">
        <v>18</v>
      </c>
      <c r="AP12" s="53">
        <v>143.58999999999995</v>
      </c>
      <c r="AQ12" s="69"/>
      <c r="AR12" s="9"/>
      <c r="AS12" s="10"/>
      <c r="AT12" s="11"/>
    </row>
    <row r="13" spans="1:46" x14ac:dyDescent="0.3">
      <c r="A13" s="63"/>
      <c r="B13" s="7" t="s">
        <v>19</v>
      </c>
      <c r="C13" s="4"/>
      <c r="D13" s="8"/>
      <c r="E13" s="6"/>
      <c r="F13" s="4"/>
      <c r="G13" s="5"/>
      <c r="H13" s="6"/>
      <c r="I13" s="4"/>
      <c r="J13" s="8"/>
      <c r="K13" s="6"/>
      <c r="L13" s="33"/>
      <c r="M13" s="33"/>
      <c r="N13" s="8"/>
      <c r="O13" s="6"/>
      <c r="P13" s="66"/>
      <c r="Q13" s="35" t="s">
        <v>19</v>
      </c>
      <c r="R13" s="53">
        <v>20.859999999999982</v>
      </c>
      <c r="S13" s="69"/>
      <c r="T13" s="4"/>
      <c r="U13" s="59"/>
      <c r="V13" s="2"/>
      <c r="W13" s="6"/>
      <c r="X13" s="66"/>
      <c r="Y13" s="35" t="s">
        <v>19</v>
      </c>
      <c r="Z13" s="53">
        <v>16.849999999999994</v>
      </c>
      <c r="AA13" s="69"/>
      <c r="AB13" s="4"/>
      <c r="AC13" s="59"/>
      <c r="AD13" s="2"/>
      <c r="AE13" s="6"/>
      <c r="AF13" s="66"/>
      <c r="AG13" s="35" t="s">
        <v>19</v>
      </c>
      <c r="AH13" s="53">
        <v>20.469999999999992</v>
      </c>
      <c r="AI13" s="69"/>
      <c r="AJ13" s="4"/>
      <c r="AK13" s="59"/>
      <c r="AL13" s="2"/>
      <c r="AM13" s="6"/>
      <c r="AN13" s="66"/>
      <c r="AO13" s="35" t="s">
        <v>19</v>
      </c>
      <c r="AP13" s="53">
        <v>18.670000000000002</v>
      </c>
      <c r="AQ13" s="69"/>
      <c r="AR13" s="9"/>
      <c r="AS13" s="10"/>
      <c r="AT13" s="11"/>
    </row>
    <row r="14" spans="1:46" ht="15" thickBot="1" x14ac:dyDescent="0.35">
      <c r="A14" s="64"/>
      <c r="B14" s="19" t="s">
        <v>20</v>
      </c>
      <c r="C14" s="20"/>
      <c r="D14" s="21"/>
      <c r="E14" s="22"/>
      <c r="F14" s="20"/>
      <c r="G14" s="23"/>
      <c r="H14" s="22"/>
      <c r="I14" s="20"/>
      <c r="J14" s="21"/>
      <c r="K14" s="22"/>
      <c r="L14" s="36"/>
      <c r="M14" s="36"/>
      <c r="N14" s="37"/>
      <c r="O14" s="38"/>
      <c r="P14" s="67"/>
      <c r="Q14" s="47" t="s">
        <v>20</v>
      </c>
      <c r="R14" s="49"/>
      <c r="S14" s="70"/>
      <c r="T14" s="20"/>
      <c r="U14" s="60"/>
      <c r="V14" s="49"/>
      <c r="W14" s="22"/>
      <c r="X14" s="67"/>
      <c r="Y14" s="47" t="s">
        <v>20</v>
      </c>
      <c r="Z14" s="49"/>
      <c r="AA14" s="70"/>
      <c r="AB14" s="20"/>
      <c r="AC14" s="60"/>
      <c r="AD14" s="49"/>
      <c r="AE14" s="22"/>
      <c r="AF14" s="67"/>
      <c r="AG14" s="47" t="s">
        <v>20</v>
      </c>
      <c r="AH14" s="49"/>
      <c r="AI14" s="70"/>
      <c r="AJ14" s="20"/>
      <c r="AK14" s="60"/>
      <c r="AL14" s="49"/>
      <c r="AM14" s="22"/>
      <c r="AN14" s="67"/>
      <c r="AO14" s="47" t="s">
        <v>20</v>
      </c>
      <c r="AP14" s="49"/>
      <c r="AQ14" s="70"/>
      <c r="AR14" s="24"/>
      <c r="AS14" s="25"/>
      <c r="AT14" s="26"/>
    </row>
    <row r="15" spans="1:46" x14ac:dyDescent="0.3">
      <c r="A15" s="62">
        <v>804497111</v>
      </c>
      <c r="B15" s="12" t="s">
        <v>4</v>
      </c>
      <c r="C15" s="13">
        <v>299572762</v>
      </c>
      <c r="D15" s="14">
        <v>384.52</v>
      </c>
      <c r="E15" s="12" t="s">
        <v>9</v>
      </c>
      <c r="F15" s="15"/>
      <c r="G15" s="16"/>
      <c r="H15" s="17"/>
      <c r="I15" s="13">
        <v>300438211</v>
      </c>
      <c r="J15" s="14">
        <v>65.17</v>
      </c>
      <c r="K15" s="29" t="s">
        <v>1</v>
      </c>
      <c r="L15" s="32"/>
      <c r="M15" s="32"/>
      <c r="N15" s="30"/>
      <c r="O15" s="17"/>
      <c r="P15" s="65">
        <v>301318443</v>
      </c>
      <c r="Q15" s="46" t="s">
        <v>31</v>
      </c>
      <c r="R15" s="56">
        <v>64.099999999999994</v>
      </c>
      <c r="S15" s="68" t="s">
        <v>1</v>
      </c>
      <c r="T15" s="15"/>
      <c r="U15" s="58"/>
      <c r="V15" s="16"/>
      <c r="W15" s="17"/>
      <c r="X15" s="65">
        <v>302200787</v>
      </c>
      <c r="Y15" s="46" t="s">
        <v>31</v>
      </c>
      <c r="Z15" s="56">
        <v>63.99</v>
      </c>
      <c r="AA15" s="68" t="s">
        <v>1</v>
      </c>
      <c r="AB15" s="15"/>
      <c r="AC15" s="58"/>
      <c r="AD15" s="16"/>
      <c r="AE15" s="17"/>
      <c r="AF15" s="65">
        <v>302788744</v>
      </c>
      <c r="AG15" s="46" t="s">
        <v>31</v>
      </c>
      <c r="AH15" s="56">
        <v>64.87</v>
      </c>
      <c r="AI15" s="68" t="s">
        <v>1</v>
      </c>
      <c r="AJ15" s="15"/>
      <c r="AK15" s="58"/>
      <c r="AL15" s="16"/>
      <c r="AM15" s="17"/>
      <c r="AN15" s="65">
        <v>303613674</v>
      </c>
      <c r="AO15" s="46" t="s">
        <v>31</v>
      </c>
      <c r="AP15" s="56">
        <v>64.900000000000006</v>
      </c>
      <c r="AQ15" s="68" t="s">
        <v>1</v>
      </c>
      <c r="AR15" s="13"/>
      <c r="AS15" s="18"/>
      <c r="AT15" s="12"/>
    </row>
    <row r="16" spans="1:46" x14ac:dyDescent="0.3">
      <c r="A16" s="63"/>
      <c r="B16" s="7" t="s">
        <v>18</v>
      </c>
      <c r="C16" s="4"/>
      <c r="D16" s="8"/>
      <c r="E16" s="6"/>
      <c r="F16" s="4"/>
      <c r="G16" s="5"/>
      <c r="H16" s="6"/>
      <c r="I16" s="4"/>
      <c r="J16" s="8"/>
      <c r="K16" s="6"/>
      <c r="L16" s="33"/>
      <c r="M16" s="33"/>
      <c r="N16" s="31"/>
      <c r="O16" s="3"/>
      <c r="P16" s="66"/>
      <c r="Q16" s="35" t="s">
        <v>18</v>
      </c>
      <c r="R16" s="53">
        <v>62.29</v>
      </c>
      <c r="S16" s="69"/>
      <c r="T16" s="4"/>
      <c r="U16" s="59"/>
      <c r="V16" s="2"/>
      <c r="W16" s="6"/>
      <c r="X16" s="66"/>
      <c r="Y16" s="35" t="s">
        <v>18</v>
      </c>
      <c r="Z16" s="53">
        <v>62.29</v>
      </c>
      <c r="AA16" s="69"/>
      <c r="AB16" s="4"/>
      <c r="AC16" s="59"/>
      <c r="AD16" s="2"/>
      <c r="AE16" s="6"/>
      <c r="AF16" s="66"/>
      <c r="AG16" s="35" t="s">
        <v>18</v>
      </c>
      <c r="AH16" s="53">
        <v>62.29</v>
      </c>
      <c r="AI16" s="69"/>
      <c r="AJ16" s="4"/>
      <c r="AK16" s="59"/>
      <c r="AL16" s="2"/>
      <c r="AM16" s="6"/>
      <c r="AN16" s="66"/>
      <c r="AO16" s="35" t="s">
        <v>18</v>
      </c>
      <c r="AP16" s="53">
        <v>62.29</v>
      </c>
      <c r="AQ16" s="69"/>
      <c r="AR16" s="9"/>
      <c r="AS16" s="10"/>
      <c r="AT16" s="11"/>
    </row>
    <row r="17" spans="1:46" x14ac:dyDescent="0.3">
      <c r="A17" s="63"/>
      <c r="B17" s="7" t="s">
        <v>19</v>
      </c>
      <c r="C17" s="4"/>
      <c r="D17" s="8"/>
      <c r="E17" s="6"/>
      <c r="F17" s="4"/>
      <c r="G17" s="5"/>
      <c r="H17" s="6"/>
      <c r="I17" s="4"/>
      <c r="J17" s="8"/>
      <c r="K17" s="6"/>
      <c r="L17" s="33"/>
      <c r="M17" s="33"/>
      <c r="N17" s="31"/>
      <c r="O17" s="3"/>
      <c r="P17" s="66"/>
      <c r="Q17" s="35" t="s">
        <v>19</v>
      </c>
      <c r="R17" s="53">
        <v>1.8100000000000005</v>
      </c>
      <c r="S17" s="69"/>
      <c r="T17" s="33"/>
      <c r="U17" s="59"/>
      <c r="V17" s="2"/>
      <c r="W17" s="6"/>
      <c r="X17" s="66"/>
      <c r="Y17" s="35" t="s">
        <v>19</v>
      </c>
      <c r="Z17" s="53">
        <v>1.7000000000000011</v>
      </c>
      <c r="AA17" s="69"/>
      <c r="AB17" s="33"/>
      <c r="AC17" s="59"/>
      <c r="AD17" s="2"/>
      <c r="AE17" s="6"/>
      <c r="AF17" s="66"/>
      <c r="AG17" s="35" t="s">
        <v>19</v>
      </c>
      <c r="AH17" s="53">
        <v>2.580000000000001</v>
      </c>
      <c r="AI17" s="69"/>
      <c r="AJ17" s="33"/>
      <c r="AK17" s="59"/>
      <c r="AL17" s="2"/>
      <c r="AM17" s="6"/>
      <c r="AN17" s="66"/>
      <c r="AO17" s="35" t="s">
        <v>19</v>
      </c>
      <c r="AP17" s="53">
        <v>2.61</v>
      </c>
      <c r="AQ17" s="69"/>
      <c r="AR17" s="9"/>
      <c r="AS17" s="10"/>
      <c r="AT17" s="11"/>
    </row>
    <row r="18" spans="1:46" ht="15" thickBot="1" x14ac:dyDescent="0.35">
      <c r="A18" s="64"/>
      <c r="B18" s="19" t="s">
        <v>20</v>
      </c>
      <c r="C18" s="20"/>
      <c r="D18" s="21"/>
      <c r="E18" s="22"/>
      <c r="F18" s="20"/>
      <c r="G18" s="23"/>
      <c r="H18" s="22"/>
      <c r="I18" s="20"/>
      <c r="J18" s="21"/>
      <c r="K18" s="22"/>
      <c r="L18" s="48"/>
      <c r="M18" s="45"/>
      <c r="N18" s="37"/>
      <c r="O18" s="38"/>
      <c r="P18" s="67"/>
      <c r="Q18" s="47" t="s">
        <v>20</v>
      </c>
      <c r="R18" s="49"/>
      <c r="S18" s="70"/>
      <c r="T18" s="36"/>
      <c r="U18" s="60"/>
      <c r="V18" s="49"/>
      <c r="W18" s="22"/>
      <c r="X18" s="67"/>
      <c r="Y18" s="47" t="s">
        <v>20</v>
      </c>
      <c r="Z18" s="49"/>
      <c r="AA18" s="70"/>
      <c r="AB18" s="36"/>
      <c r="AC18" s="60"/>
      <c r="AD18" s="49"/>
      <c r="AE18" s="22"/>
      <c r="AF18" s="67"/>
      <c r="AG18" s="47" t="s">
        <v>20</v>
      </c>
      <c r="AH18" s="49"/>
      <c r="AI18" s="70"/>
      <c r="AJ18" s="36"/>
      <c r="AK18" s="60"/>
      <c r="AL18" s="49"/>
      <c r="AM18" s="22"/>
      <c r="AN18" s="67"/>
      <c r="AO18" s="47" t="s">
        <v>20</v>
      </c>
      <c r="AP18" s="49"/>
      <c r="AQ18" s="70"/>
      <c r="AR18" s="24"/>
      <c r="AS18" s="25"/>
      <c r="AT18" s="26"/>
    </row>
    <row r="19" spans="1:46" x14ac:dyDescent="0.3">
      <c r="A19" s="62">
        <v>803462574</v>
      </c>
      <c r="B19" s="12" t="s">
        <v>5</v>
      </c>
      <c r="C19" s="13">
        <v>299328987</v>
      </c>
      <c r="D19" s="14">
        <v>322.8</v>
      </c>
      <c r="E19" s="29" t="s">
        <v>1</v>
      </c>
      <c r="F19" s="13">
        <v>299900416</v>
      </c>
      <c r="G19" s="14">
        <v>322.8</v>
      </c>
      <c r="H19" s="29" t="s">
        <v>1</v>
      </c>
      <c r="I19" s="13">
        <v>300215309</v>
      </c>
      <c r="J19" s="14">
        <v>322.8</v>
      </c>
      <c r="K19" s="29" t="s">
        <v>1</v>
      </c>
      <c r="L19" s="71">
        <v>300809199</v>
      </c>
      <c r="M19" s="46" t="s">
        <v>31</v>
      </c>
      <c r="N19" s="50">
        <v>324.43</v>
      </c>
      <c r="O19" s="68" t="s">
        <v>1</v>
      </c>
      <c r="P19" s="65">
        <v>301107609</v>
      </c>
      <c r="Q19" s="46" t="s">
        <v>31</v>
      </c>
      <c r="R19" s="56">
        <v>322.8</v>
      </c>
      <c r="S19" s="68" t="s">
        <v>1</v>
      </c>
      <c r="T19" s="65">
        <v>301629454</v>
      </c>
      <c r="U19" s="46" t="s">
        <v>31</v>
      </c>
      <c r="V19" s="56">
        <v>322.8</v>
      </c>
      <c r="W19" s="68" t="s">
        <v>1</v>
      </c>
      <c r="X19" s="65">
        <v>301978290</v>
      </c>
      <c r="Y19" s="46" t="s">
        <v>31</v>
      </c>
      <c r="Z19" s="56">
        <v>322.8</v>
      </c>
      <c r="AA19" s="68" t="s">
        <v>1</v>
      </c>
      <c r="AB19" s="65">
        <v>302532035</v>
      </c>
      <c r="AC19" s="46" t="s">
        <v>31</v>
      </c>
      <c r="AD19" s="52">
        <v>322.8</v>
      </c>
      <c r="AE19" s="68" t="s">
        <v>1</v>
      </c>
      <c r="AF19" s="65">
        <v>302890106</v>
      </c>
      <c r="AG19" s="46" t="s">
        <v>31</v>
      </c>
      <c r="AH19" s="56">
        <v>322.8</v>
      </c>
      <c r="AI19" s="68" t="s">
        <v>1</v>
      </c>
      <c r="AJ19" s="65">
        <v>303340930</v>
      </c>
      <c r="AK19" s="46" t="s">
        <v>31</v>
      </c>
      <c r="AL19" s="56">
        <v>322.8</v>
      </c>
      <c r="AM19" s="68" t="s">
        <v>1</v>
      </c>
      <c r="AN19" s="65">
        <v>303765257</v>
      </c>
      <c r="AO19" s="46" t="s">
        <v>31</v>
      </c>
      <c r="AP19" s="56">
        <v>322.91000000000003</v>
      </c>
      <c r="AQ19" s="68" t="s">
        <v>1</v>
      </c>
      <c r="AR19" s="13"/>
      <c r="AS19" s="18"/>
      <c r="AT19" s="12"/>
    </row>
    <row r="20" spans="1:46" x14ac:dyDescent="0.3">
      <c r="A20" s="63"/>
      <c r="B20" s="7" t="s">
        <v>18</v>
      </c>
      <c r="C20" s="4"/>
      <c r="D20" s="8"/>
      <c r="E20" s="6"/>
      <c r="F20" s="4"/>
      <c r="G20" s="5"/>
      <c r="H20" s="6"/>
      <c r="I20" s="4"/>
      <c r="J20" s="8"/>
      <c r="K20" s="6"/>
      <c r="L20" s="72"/>
      <c r="M20" s="35" t="s">
        <v>18</v>
      </c>
      <c r="N20" s="1">
        <v>375.55</v>
      </c>
      <c r="O20" s="69"/>
      <c r="P20" s="66"/>
      <c r="Q20" s="35" t="s">
        <v>18</v>
      </c>
      <c r="R20" s="53">
        <v>375.55</v>
      </c>
      <c r="S20" s="69"/>
      <c r="T20" s="66"/>
      <c r="U20" s="35" t="s">
        <v>18</v>
      </c>
      <c r="V20" s="53">
        <v>375.55</v>
      </c>
      <c r="W20" s="69"/>
      <c r="X20" s="66"/>
      <c r="Y20" s="35" t="s">
        <v>18</v>
      </c>
      <c r="Z20" s="53">
        <v>375.55</v>
      </c>
      <c r="AA20" s="69"/>
      <c r="AB20" s="66"/>
      <c r="AC20" s="35" t="s">
        <v>18</v>
      </c>
      <c r="AD20" s="53">
        <v>375.55</v>
      </c>
      <c r="AE20" s="69"/>
      <c r="AF20" s="66"/>
      <c r="AG20" s="35" t="s">
        <v>18</v>
      </c>
      <c r="AH20" s="53">
        <v>375.55</v>
      </c>
      <c r="AI20" s="69"/>
      <c r="AJ20" s="66"/>
      <c r="AK20" s="35" t="s">
        <v>18</v>
      </c>
      <c r="AL20" s="53">
        <v>375.55</v>
      </c>
      <c r="AM20" s="69"/>
      <c r="AN20" s="66"/>
      <c r="AO20" s="35" t="s">
        <v>18</v>
      </c>
      <c r="AP20" s="53">
        <v>359.55</v>
      </c>
      <c r="AQ20" s="69"/>
      <c r="AR20" s="9"/>
      <c r="AS20" s="10"/>
      <c r="AT20" s="11"/>
    </row>
    <row r="21" spans="1:46" x14ac:dyDescent="0.3">
      <c r="A21" s="63"/>
      <c r="B21" s="7" t="s">
        <v>19</v>
      </c>
      <c r="C21" s="4"/>
      <c r="D21" s="8"/>
      <c r="E21" s="6"/>
      <c r="F21" s="4"/>
      <c r="G21" s="5"/>
      <c r="H21" s="6"/>
      <c r="I21" s="4"/>
      <c r="J21" s="8"/>
      <c r="K21" s="6"/>
      <c r="L21" s="72"/>
      <c r="M21" s="35" t="s">
        <v>19</v>
      </c>
      <c r="N21" s="1">
        <v>1.6300000000000008</v>
      </c>
      <c r="O21" s="69"/>
      <c r="P21" s="66"/>
      <c r="Q21" s="35" t="s">
        <v>19</v>
      </c>
      <c r="R21" s="55"/>
      <c r="S21" s="69"/>
      <c r="T21" s="66"/>
      <c r="U21" s="35" t="s">
        <v>19</v>
      </c>
      <c r="V21" s="55"/>
      <c r="W21" s="69"/>
      <c r="X21" s="66"/>
      <c r="Y21" s="35" t="s">
        <v>19</v>
      </c>
      <c r="Z21" s="55"/>
      <c r="AA21" s="69"/>
      <c r="AB21" s="66"/>
      <c r="AC21" s="35" t="s">
        <v>19</v>
      </c>
      <c r="AD21" s="55"/>
      <c r="AE21" s="69"/>
      <c r="AF21" s="66"/>
      <c r="AG21" s="35" t="s">
        <v>19</v>
      </c>
      <c r="AH21" s="55"/>
      <c r="AI21" s="69"/>
      <c r="AJ21" s="66"/>
      <c r="AK21" s="35" t="s">
        <v>19</v>
      </c>
      <c r="AL21" s="28">
        <v>0</v>
      </c>
      <c r="AM21" s="69"/>
      <c r="AN21" s="66"/>
      <c r="AO21" s="35" t="s">
        <v>19</v>
      </c>
      <c r="AP21" s="84">
        <f>16+0.11</f>
        <v>16.11</v>
      </c>
      <c r="AQ21" s="69"/>
      <c r="AR21" s="9"/>
      <c r="AS21" s="10"/>
      <c r="AT21" s="11"/>
    </row>
    <row r="22" spans="1:46" ht="15" thickBot="1" x14ac:dyDescent="0.35">
      <c r="A22" s="64"/>
      <c r="B22" s="19" t="s">
        <v>20</v>
      </c>
      <c r="C22" s="20"/>
      <c r="D22" s="21"/>
      <c r="E22" s="22"/>
      <c r="F22" s="20"/>
      <c r="G22" s="23"/>
      <c r="H22" s="22"/>
      <c r="I22" s="20"/>
      <c r="J22" s="21"/>
      <c r="K22" s="22"/>
      <c r="L22" s="73"/>
      <c r="M22" s="47" t="s">
        <v>20</v>
      </c>
      <c r="N22" s="51">
        <v>-52.75</v>
      </c>
      <c r="O22" s="70"/>
      <c r="P22" s="67"/>
      <c r="Q22" s="47" t="s">
        <v>20</v>
      </c>
      <c r="R22" s="54">
        <v>-52.75</v>
      </c>
      <c r="S22" s="70"/>
      <c r="T22" s="67"/>
      <c r="U22" s="47" t="s">
        <v>20</v>
      </c>
      <c r="V22" s="54">
        <v>-52.75</v>
      </c>
      <c r="W22" s="70"/>
      <c r="X22" s="67"/>
      <c r="Y22" s="47" t="s">
        <v>20</v>
      </c>
      <c r="Z22" s="54">
        <v>-52.75</v>
      </c>
      <c r="AA22" s="70"/>
      <c r="AB22" s="67"/>
      <c r="AC22" s="47" t="s">
        <v>20</v>
      </c>
      <c r="AD22" s="54">
        <v>-52.75</v>
      </c>
      <c r="AE22" s="70"/>
      <c r="AF22" s="67"/>
      <c r="AG22" s="47" t="s">
        <v>20</v>
      </c>
      <c r="AH22" s="54">
        <v>-52.75</v>
      </c>
      <c r="AI22" s="70"/>
      <c r="AJ22" s="67"/>
      <c r="AK22" s="47" t="s">
        <v>20</v>
      </c>
      <c r="AL22" s="54">
        <v>-52.75</v>
      </c>
      <c r="AM22" s="70"/>
      <c r="AN22" s="67"/>
      <c r="AO22" s="47" t="s">
        <v>20</v>
      </c>
      <c r="AP22" s="54">
        <v>-52.75</v>
      </c>
      <c r="AQ22" s="70"/>
      <c r="AR22" s="24"/>
      <c r="AS22" s="25"/>
      <c r="AT22" s="26"/>
    </row>
    <row r="23" spans="1:46" x14ac:dyDescent="0.3">
      <c r="A23" s="62">
        <v>803464845</v>
      </c>
      <c r="B23" s="12" t="s">
        <v>6</v>
      </c>
      <c r="C23" s="13">
        <v>299335928</v>
      </c>
      <c r="D23" s="14">
        <v>495.16</v>
      </c>
      <c r="E23" s="29" t="s">
        <v>1</v>
      </c>
      <c r="F23" s="13">
        <v>299849334</v>
      </c>
      <c r="G23" s="14">
        <v>453.63</v>
      </c>
      <c r="H23" s="29" t="s">
        <v>1</v>
      </c>
      <c r="I23" s="13">
        <v>300198498</v>
      </c>
      <c r="J23" s="14">
        <v>490.59</v>
      </c>
      <c r="K23" s="29" t="s">
        <v>1</v>
      </c>
      <c r="L23" s="71">
        <v>300809193</v>
      </c>
      <c r="M23" s="46" t="s">
        <v>31</v>
      </c>
      <c r="N23" s="50">
        <v>489.96</v>
      </c>
      <c r="O23" s="68" t="s">
        <v>1</v>
      </c>
      <c r="P23" s="65">
        <v>301107602</v>
      </c>
      <c r="Q23" s="46" t="s">
        <v>31</v>
      </c>
      <c r="R23" s="56">
        <v>452.34</v>
      </c>
      <c r="S23" s="68" t="s">
        <v>1</v>
      </c>
      <c r="T23" s="65">
        <v>301633990</v>
      </c>
      <c r="U23" s="46" t="s">
        <v>31</v>
      </c>
      <c r="V23" s="56">
        <v>489.88999999999993</v>
      </c>
      <c r="W23" s="68" t="s">
        <v>1</v>
      </c>
      <c r="X23" s="65">
        <v>302003881</v>
      </c>
      <c r="Y23" s="46" t="s">
        <v>31</v>
      </c>
      <c r="Z23" s="56">
        <v>489.85999999999996</v>
      </c>
      <c r="AA23" s="68" t="s">
        <v>1</v>
      </c>
      <c r="AB23" s="65">
        <v>302527256</v>
      </c>
      <c r="AC23" s="46" t="s">
        <v>31</v>
      </c>
      <c r="AD23" s="52">
        <v>454.46</v>
      </c>
      <c r="AE23" s="68" t="s">
        <v>1</v>
      </c>
      <c r="AF23" s="65">
        <v>302923557</v>
      </c>
      <c r="AG23" s="46" t="s">
        <v>31</v>
      </c>
      <c r="AH23" s="56">
        <v>489.87999999999994</v>
      </c>
      <c r="AI23" s="68" t="s">
        <v>1</v>
      </c>
      <c r="AJ23" s="65">
        <v>303361900</v>
      </c>
      <c r="AK23" s="46" t="s">
        <v>31</v>
      </c>
      <c r="AL23" s="56">
        <v>493.12999999999994</v>
      </c>
      <c r="AM23" s="68" t="s">
        <v>1</v>
      </c>
      <c r="AN23" s="65">
        <v>303765251</v>
      </c>
      <c r="AO23" s="46" t="s">
        <v>31</v>
      </c>
      <c r="AP23" s="56">
        <v>489.86</v>
      </c>
      <c r="AQ23" s="68" t="s">
        <v>1</v>
      </c>
      <c r="AR23" s="13"/>
      <c r="AS23" s="18"/>
      <c r="AT23" s="12"/>
    </row>
    <row r="24" spans="1:46" x14ac:dyDescent="0.3">
      <c r="A24" s="63"/>
      <c r="B24" s="7" t="s">
        <v>18</v>
      </c>
      <c r="C24" s="4"/>
      <c r="D24" s="8"/>
      <c r="E24" s="6"/>
      <c r="F24" s="4"/>
      <c r="G24" s="5"/>
      <c r="H24" s="6"/>
      <c r="I24" s="4"/>
      <c r="J24" s="8"/>
      <c r="K24" s="6"/>
      <c r="L24" s="72"/>
      <c r="M24" s="35" t="s">
        <v>18</v>
      </c>
      <c r="N24" s="1">
        <v>607.66</v>
      </c>
      <c r="O24" s="69"/>
      <c r="P24" s="66"/>
      <c r="Q24" s="35" t="s">
        <v>18</v>
      </c>
      <c r="R24" s="53">
        <v>561.66</v>
      </c>
      <c r="S24" s="69"/>
      <c r="T24" s="66"/>
      <c r="U24" s="35" t="s">
        <v>18</v>
      </c>
      <c r="V24" s="53">
        <v>607.66</v>
      </c>
      <c r="W24" s="69"/>
      <c r="X24" s="66"/>
      <c r="Y24" s="35" t="s">
        <v>18</v>
      </c>
      <c r="Z24" s="53">
        <v>607.66</v>
      </c>
      <c r="AA24" s="69"/>
      <c r="AB24" s="66"/>
      <c r="AC24" s="35" t="s">
        <v>18</v>
      </c>
      <c r="AD24" s="53">
        <v>561.66</v>
      </c>
      <c r="AE24" s="69"/>
      <c r="AF24" s="66"/>
      <c r="AG24" s="35" t="s">
        <v>18</v>
      </c>
      <c r="AH24" s="53">
        <v>607.66</v>
      </c>
      <c r="AI24" s="69"/>
      <c r="AJ24" s="66"/>
      <c r="AK24" s="35" t="s">
        <v>18</v>
      </c>
      <c r="AL24" s="53">
        <v>607.66</v>
      </c>
      <c r="AM24" s="69"/>
      <c r="AN24" s="66"/>
      <c r="AO24" s="35" t="s">
        <v>18</v>
      </c>
      <c r="AP24" s="53">
        <v>488.66</v>
      </c>
      <c r="AQ24" s="69"/>
      <c r="AR24" s="9"/>
      <c r="AS24" s="10"/>
      <c r="AT24" s="11"/>
    </row>
    <row r="25" spans="1:46" x14ac:dyDescent="0.3">
      <c r="A25" s="63"/>
      <c r="B25" s="7" t="s">
        <v>19</v>
      </c>
      <c r="C25" s="4"/>
      <c r="D25" s="8"/>
      <c r="E25" s="6"/>
      <c r="F25" s="4"/>
      <c r="G25" s="5"/>
      <c r="H25" s="6"/>
      <c r="I25" s="4"/>
      <c r="J25" s="8"/>
      <c r="K25" s="6"/>
      <c r="L25" s="72"/>
      <c r="M25" s="35" t="s">
        <v>19</v>
      </c>
      <c r="N25" s="1">
        <v>9.9999999999999978E-2</v>
      </c>
      <c r="O25" s="69"/>
      <c r="P25" s="66"/>
      <c r="Q25" s="35" t="s">
        <v>19</v>
      </c>
      <c r="R25" s="53">
        <v>8.4799999999999969</v>
      </c>
      <c r="S25" s="69"/>
      <c r="T25" s="66"/>
      <c r="U25" s="35" t="s">
        <v>19</v>
      </c>
      <c r="V25" s="53">
        <v>3.0000000000000013E-2</v>
      </c>
      <c r="W25" s="69"/>
      <c r="X25" s="66"/>
      <c r="Y25" s="35" t="s">
        <v>19</v>
      </c>
      <c r="Z25" s="53">
        <v>0</v>
      </c>
      <c r="AA25" s="69"/>
      <c r="AB25" s="66"/>
      <c r="AC25" s="35" t="s">
        <v>19</v>
      </c>
      <c r="AD25" s="53">
        <v>10.600000000000001</v>
      </c>
      <c r="AE25" s="69"/>
      <c r="AF25" s="66"/>
      <c r="AG25" s="35" t="s">
        <v>19</v>
      </c>
      <c r="AH25" s="53">
        <v>2.0000000000000004E-2</v>
      </c>
      <c r="AI25" s="69"/>
      <c r="AJ25" s="66"/>
      <c r="AK25" s="35" t="s">
        <v>19</v>
      </c>
      <c r="AL25" s="53">
        <v>3.2700000000000005</v>
      </c>
      <c r="AM25" s="69"/>
      <c r="AN25" s="66"/>
      <c r="AO25" s="35" t="s">
        <v>19</v>
      </c>
      <c r="AP25" s="53">
        <v>119</v>
      </c>
      <c r="AQ25" s="69"/>
      <c r="AR25" s="9"/>
      <c r="AS25" s="10"/>
      <c r="AT25" s="11"/>
    </row>
    <row r="26" spans="1:46" ht="15" thickBot="1" x14ac:dyDescent="0.35">
      <c r="A26" s="64"/>
      <c r="B26" s="19" t="s">
        <v>20</v>
      </c>
      <c r="C26" s="20"/>
      <c r="D26" s="21"/>
      <c r="E26" s="22"/>
      <c r="F26" s="20"/>
      <c r="G26" s="23"/>
      <c r="H26" s="22"/>
      <c r="I26" s="20"/>
      <c r="J26" s="21"/>
      <c r="K26" s="22"/>
      <c r="L26" s="73"/>
      <c r="M26" s="47" t="s">
        <v>20</v>
      </c>
      <c r="N26" s="51">
        <v>-117.8</v>
      </c>
      <c r="O26" s="70"/>
      <c r="P26" s="67"/>
      <c r="Q26" s="47" t="s">
        <v>20</v>
      </c>
      <c r="R26" s="54">
        <v>-117.8</v>
      </c>
      <c r="S26" s="70"/>
      <c r="T26" s="67"/>
      <c r="U26" s="47" t="s">
        <v>20</v>
      </c>
      <c r="V26" s="54">
        <v>-117.8</v>
      </c>
      <c r="W26" s="70"/>
      <c r="X26" s="67"/>
      <c r="Y26" s="47" t="s">
        <v>20</v>
      </c>
      <c r="Z26" s="54">
        <v>-117.8</v>
      </c>
      <c r="AA26" s="70"/>
      <c r="AB26" s="67"/>
      <c r="AC26" s="47" t="s">
        <v>20</v>
      </c>
      <c r="AD26" s="54">
        <v>-117.8</v>
      </c>
      <c r="AE26" s="70"/>
      <c r="AF26" s="67"/>
      <c r="AG26" s="47" t="s">
        <v>20</v>
      </c>
      <c r="AH26" s="54">
        <v>-117.8</v>
      </c>
      <c r="AI26" s="70"/>
      <c r="AJ26" s="67"/>
      <c r="AK26" s="47" t="s">
        <v>20</v>
      </c>
      <c r="AL26" s="54">
        <v>-117.8</v>
      </c>
      <c r="AM26" s="70"/>
      <c r="AN26" s="67"/>
      <c r="AO26" s="47" t="s">
        <v>20</v>
      </c>
      <c r="AP26" s="54">
        <v>-117.8</v>
      </c>
      <c r="AQ26" s="70"/>
      <c r="AR26" s="24"/>
      <c r="AS26" s="25"/>
      <c r="AT26" s="26"/>
    </row>
    <row r="27" spans="1:46" x14ac:dyDescent="0.3">
      <c r="A27" s="62">
        <v>803464827</v>
      </c>
      <c r="B27" s="12" t="s">
        <v>7</v>
      </c>
      <c r="C27" s="13">
        <v>299386211</v>
      </c>
      <c r="D27" s="14">
        <v>954.16</v>
      </c>
      <c r="E27" s="29" t="s">
        <v>1</v>
      </c>
      <c r="F27" s="13">
        <v>299883173</v>
      </c>
      <c r="G27" s="14">
        <v>985.69</v>
      </c>
      <c r="H27" s="29" t="s">
        <v>1</v>
      </c>
      <c r="I27" s="13">
        <v>300233088</v>
      </c>
      <c r="J27" s="14">
        <v>951</v>
      </c>
      <c r="K27" s="29" t="s">
        <v>1</v>
      </c>
      <c r="L27" s="71">
        <v>300753687</v>
      </c>
      <c r="M27" s="46" t="s">
        <v>31</v>
      </c>
      <c r="N27" s="50">
        <v>953.19</v>
      </c>
      <c r="O27" s="68" t="s">
        <v>1</v>
      </c>
      <c r="P27" s="65">
        <v>301136386</v>
      </c>
      <c r="Q27" s="46" t="s">
        <v>31</v>
      </c>
      <c r="R27" s="56">
        <v>986.00999999999976</v>
      </c>
      <c r="S27" s="68" t="s">
        <v>1</v>
      </c>
      <c r="T27" s="65">
        <v>301690118</v>
      </c>
      <c r="U27" s="46" t="s">
        <v>31</v>
      </c>
      <c r="V27" s="56">
        <v>1076.6200000000006</v>
      </c>
      <c r="W27" s="68" t="s">
        <v>1</v>
      </c>
      <c r="X27" s="65">
        <v>302046462</v>
      </c>
      <c r="Y27" s="46" t="s">
        <v>31</v>
      </c>
      <c r="Z27" s="56">
        <v>1093.6400000000006</v>
      </c>
      <c r="AA27" s="68" t="s">
        <v>1</v>
      </c>
      <c r="AB27" s="65">
        <v>302558007</v>
      </c>
      <c r="AC27" s="46" t="s">
        <v>31</v>
      </c>
      <c r="AD27" s="52">
        <v>1124.5500000000006</v>
      </c>
      <c r="AE27" s="68" t="s">
        <v>1</v>
      </c>
      <c r="AF27" s="65">
        <v>302940059</v>
      </c>
      <c r="AG27" s="46" t="s">
        <v>31</v>
      </c>
      <c r="AH27" s="56">
        <v>1074.4000000000005</v>
      </c>
      <c r="AI27" s="68" t="s">
        <v>1</v>
      </c>
      <c r="AJ27" s="65">
        <v>303387446</v>
      </c>
      <c r="AK27" s="46" t="s">
        <v>31</v>
      </c>
      <c r="AL27" s="56">
        <v>1118.8000000000002</v>
      </c>
      <c r="AM27" s="68" t="s">
        <v>1</v>
      </c>
      <c r="AN27" s="65">
        <v>303766246</v>
      </c>
      <c r="AO27" s="46" t="s">
        <v>31</v>
      </c>
      <c r="AP27" s="56">
        <v>1107.75</v>
      </c>
      <c r="AQ27" s="68" t="s">
        <v>1</v>
      </c>
      <c r="AR27" s="13"/>
      <c r="AS27" s="18"/>
      <c r="AT27" s="12"/>
    </row>
    <row r="28" spans="1:46" x14ac:dyDescent="0.3">
      <c r="A28" s="63"/>
      <c r="B28" s="7" t="s">
        <v>18</v>
      </c>
      <c r="C28" s="4"/>
      <c r="D28" s="8"/>
      <c r="E28" s="6"/>
      <c r="F28" s="4"/>
      <c r="G28" s="5"/>
      <c r="H28" s="6"/>
      <c r="I28" s="4"/>
      <c r="J28" s="8"/>
      <c r="K28" s="6"/>
      <c r="L28" s="72"/>
      <c r="M28" s="35" t="s">
        <v>18</v>
      </c>
      <c r="N28" s="1">
        <v>1092.8900000000001</v>
      </c>
      <c r="O28" s="69"/>
      <c r="P28" s="66"/>
      <c r="Q28" s="35" t="s">
        <v>18</v>
      </c>
      <c r="R28" s="53">
        <v>1138.9099999999999</v>
      </c>
      <c r="S28" s="69"/>
      <c r="T28" s="66"/>
      <c r="U28" s="35" t="s">
        <v>18</v>
      </c>
      <c r="V28" s="53">
        <v>1226.9100000000005</v>
      </c>
      <c r="W28" s="69"/>
      <c r="X28" s="66"/>
      <c r="Y28" s="35" t="s">
        <v>18</v>
      </c>
      <c r="Z28" s="53">
        <v>1226.9100000000005</v>
      </c>
      <c r="AA28" s="69"/>
      <c r="AB28" s="66"/>
      <c r="AC28" s="35" t="s">
        <v>18</v>
      </c>
      <c r="AD28" s="53">
        <v>1226.9100000000005</v>
      </c>
      <c r="AE28" s="69"/>
      <c r="AF28" s="66"/>
      <c r="AG28" s="35" t="s">
        <v>18</v>
      </c>
      <c r="AH28" s="53">
        <v>1226.9100000000005</v>
      </c>
      <c r="AI28" s="69"/>
      <c r="AJ28" s="66"/>
      <c r="AK28" s="35" t="s">
        <v>18</v>
      </c>
      <c r="AL28" s="53">
        <v>1226.9100000000001</v>
      </c>
      <c r="AM28" s="69"/>
      <c r="AN28" s="66"/>
      <c r="AO28" s="35" t="s">
        <v>18</v>
      </c>
      <c r="AP28" s="53">
        <v>1019.91</v>
      </c>
      <c r="AQ28" s="69"/>
      <c r="AR28" s="9"/>
      <c r="AS28" s="10"/>
      <c r="AT28" s="11"/>
    </row>
    <row r="29" spans="1:46" x14ac:dyDescent="0.3">
      <c r="A29" s="63"/>
      <c r="B29" s="7" t="s">
        <v>19</v>
      </c>
      <c r="C29" s="4"/>
      <c r="D29" s="8"/>
      <c r="E29" s="6"/>
      <c r="F29" s="4"/>
      <c r="G29" s="5"/>
      <c r="H29" s="6"/>
      <c r="I29" s="4"/>
      <c r="J29" s="8"/>
      <c r="K29" s="6"/>
      <c r="L29" s="72"/>
      <c r="M29" s="35" t="s">
        <v>19</v>
      </c>
      <c r="N29" s="1">
        <v>24.3</v>
      </c>
      <c r="O29" s="69"/>
      <c r="P29" s="66"/>
      <c r="Q29" s="35" t="s">
        <v>19</v>
      </c>
      <c r="R29" s="53">
        <v>11.100000000000001</v>
      </c>
      <c r="S29" s="69"/>
      <c r="T29" s="66"/>
      <c r="U29" s="35" t="s">
        <v>19</v>
      </c>
      <c r="V29" s="53">
        <v>13.71</v>
      </c>
      <c r="W29" s="69"/>
      <c r="X29" s="66"/>
      <c r="Y29" s="35" t="s">
        <v>19</v>
      </c>
      <c r="Z29" s="53">
        <v>30.73</v>
      </c>
      <c r="AA29" s="69"/>
      <c r="AB29" s="66"/>
      <c r="AC29" s="35" t="s">
        <v>19</v>
      </c>
      <c r="AD29" s="53">
        <v>61.639999999999993</v>
      </c>
      <c r="AE29" s="69"/>
      <c r="AF29" s="66"/>
      <c r="AG29" s="35" t="s">
        <v>19</v>
      </c>
      <c r="AH29" s="53">
        <v>11.490000000000002</v>
      </c>
      <c r="AI29" s="69"/>
      <c r="AJ29" s="66"/>
      <c r="AK29" s="35" t="s">
        <v>19</v>
      </c>
      <c r="AL29" s="53">
        <v>55.890000000000022</v>
      </c>
      <c r="AM29" s="69"/>
      <c r="AN29" s="66"/>
      <c r="AO29" s="35" t="s">
        <v>19</v>
      </c>
      <c r="AP29" s="53">
        <f>207+44.84</f>
        <v>251.84</v>
      </c>
      <c r="AQ29" s="69"/>
      <c r="AR29" s="9"/>
      <c r="AS29" s="10"/>
      <c r="AT29" s="11"/>
    </row>
    <row r="30" spans="1:46" ht="15" thickBot="1" x14ac:dyDescent="0.35">
      <c r="A30" s="64"/>
      <c r="B30" s="19" t="s">
        <v>20</v>
      </c>
      <c r="C30" s="20"/>
      <c r="D30" s="21"/>
      <c r="E30" s="22"/>
      <c r="F30" s="20"/>
      <c r="G30" s="23"/>
      <c r="H30" s="22"/>
      <c r="I30" s="20"/>
      <c r="J30" s="21"/>
      <c r="K30" s="22"/>
      <c r="L30" s="73"/>
      <c r="M30" s="47" t="s">
        <v>20</v>
      </c>
      <c r="N30" s="51">
        <v>-164</v>
      </c>
      <c r="O30" s="70"/>
      <c r="P30" s="67"/>
      <c r="Q30" s="47" t="s">
        <v>20</v>
      </c>
      <c r="R30" s="54">
        <v>-164</v>
      </c>
      <c r="S30" s="70"/>
      <c r="T30" s="67"/>
      <c r="U30" s="47" t="s">
        <v>20</v>
      </c>
      <c r="V30" s="54">
        <v>-164</v>
      </c>
      <c r="W30" s="70"/>
      <c r="X30" s="67"/>
      <c r="Y30" s="47" t="s">
        <v>20</v>
      </c>
      <c r="Z30" s="54">
        <v>-164</v>
      </c>
      <c r="AA30" s="70"/>
      <c r="AB30" s="67"/>
      <c r="AC30" s="47" t="s">
        <v>20</v>
      </c>
      <c r="AD30" s="54">
        <v>-164</v>
      </c>
      <c r="AE30" s="70"/>
      <c r="AF30" s="67"/>
      <c r="AG30" s="47" t="s">
        <v>20</v>
      </c>
      <c r="AH30" s="54">
        <v>-164</v>
      </c>
      <c r="AI30" s="70"/>
      <c r="AJ30" s="67"/>
      <c r="AK30" s="47" t="s">
        <v>20</v>
      </c>
      <c r="AL30" s="54">
        <v>-164</v>
      </c>
      <c r="AM30" s="70"/>
      <c r="AN30" s="67"/>
      <c r="AO30" s="47" t="s">
        <v>20</v>
      </c>
      <c r="AP30" s="54">
        <v>-164</v>
      </c>
      <c r="AQ30" s="70"/>
      <c r="AR30" s="24"/>
      <c r="AS30" s="25"/>
      <c r="AT30" s="26"/>
    </row>
    <row r="31" spans="1:46" x14ac:dyDescent="0.3">
      <c r="A31" s="62">
        <v>3899103</v>
      </c>
      <c r="B31" s="11" t="s">
        <v>8</v>
      </c>
      <c r="C31" s="9">
        <v>12501022112</v>
      </c>
      <c r="D31" s="43">
        <v>662</v>
      </c>
      <c r="E31" s="44" t="s">
        <v>1</v>
      </c>
      <c r="F31" s="4"/>
      <c r="G31" s="5"/>
      <c r="H31" s="6"/>
      <c r="I31" s="9">
        <v>12503021278</v>
      </c>
      <c r="J31" s="43">
        <v>662</v>
      </c>
      <c r="K31" s="44" t="s">
        <v>1</v>
      </c>
      <c r="L31" s="33"/>
      <c r="M31" s="5"/>
      <c r="N31" s="8"/>
      <c r="O31" s="6"/>
      <c r="P31" s="65">
        <v>12505020726</v>
      </c>
      <c r="Q31" s="46" t="s">
        <v>31</v>
      </c>
      <c r="R31" s="57">
        <v>662</v>
      </c>
      <c r="S31" s="68" t="s">
        <v>1</v>
      </c>
      <c r="T31" s="33"/>
      <c r="U31" s="58"/>
      <c r="V31" s="5"/>
      <c r="W31" s="6"/>
      <c r="X31" s="65">
        <v>12507020381</v>
      </c>
      <c r="Y31" s="46" t="s">
        <v>31</v>
      </c>
      <c r="Z31" s="57">
        <v>662</v>
      </c>
      <c r="AA31" s="68" t="s">
        <v>1</v>
      </c>
      <c r="AB31" s="33"/>
      <c r="AC31" s="58"/>
      <c r="AD31" s="5"/>
      <c r="AE31" s="6"/>
      <c r="AF31" s="65">
        <v>12509020081</v>
      </c>
      <c r="AG31" s="46" t="s">
        <v>31</v>
      </c>
      <c r="AH31" s="57">
        <v>662</v>
      </c>
      <c r="AI31" s="68" t="s">
        <v>1</v>
      </c>
      <c r="AJ31" s="33"/>
      <c r="AK31" s="58"/>
      <c r="AL31" s="5"/>
      <c r="AM31" s="6"/>
      <c r="AN31" s="65">
        <v>12511018958</v>
      </c>
      <c r="AO31" s="46" t="s">
        <v>31</v>
      </c>
      <c r="AP31" s="57">
        <v>662</v>
      </c>
      <c r="AQ31" s="68" t="s">
        <v>1</v>
      </c>
      <c r="AR31" s="9"/>
      <c r="AS31" s="10"/>
      <c r="AT31" s="11"/>
    </row>
    <row r="32" spans="1:46" x14ac:dyDescent="0.3">
      <c r="A32" s="63"/>
      <c r="B32" s="7" t="s">
        <v>18</v>
      </c>
      <c r="C32" s="4"/>
      <c r="D32" s="8"/>
      <c r="E32" s="6"/>
      <c r="F32" s="4"/>
      <c r="G32" s="5"/>
      <c r="H32" s="6"/>
      <c r="I32" s="4"/>
      <c r="J32" s="8"/>
      <c r="K32" s="6"/>
      <c r="L32" s="34"/>
      <c r="M32" s="2"/>
      <c r="N32" s="31"/>
      <c r="O32" s="3"/>
      <c r="P32" s="66"/>
      <c r="Q32" s="35" t="s">
        <v>18</v>
      </c>
      <c r="R32" s="53">
        <v>662</v>
      </c>
      <c r="S32" s="69"/>
      <c r="T32" s="33"/>
      <c r="U32" s="59"/>
      <c r="V32" s="2"/>
      <c r="W32" s="6"/>
      <c r="X32" s="66"/>
      <c r="Y32" s="35" t="s">
        <v>18</v>
      </c>
      <c r="Z32" s="53">
        <v>662</v>
      </c>
      <c r="AA32" s="69"/>
      <c r="AB32" s="33"/>
      <c r="AC32" s="59"/>
      <c r="AD32" s="2"/>
      <c r="AE32" s="6"/>
      <c r="AF32" s="66"/>
      <c r="AG32" s="35" t="s">
        <v>18</v>
      </c>
      <c r="AH32" s="53">
        <v>662</v>
      </c>
      <c r="AI32" s="69"/>
      <c r="AJ32" s="33"/>
      <c r="AK32" s="59"/>
      <c r="AL32" s="2"/>
      <c r="AM32" s="6"/>
      <c r="AN32" s="66"/>
      <c r="AO32" s="35" t="s">
        <v>18</v>
      </c>
      <c r="AP32" s="53">
        <v>662</v>
      </c>
      <c r="AQ32" s="69"/>
      <c r="AR32" s="9"/>
      <c r="AS32" s="10"/>
      <c r="AT32" s="11"/>
    </row>
    <row r="33" spans="1:46" x14ac:dyDescent="0.3">
      <c r="A33" s="63"/>
      <c r="B33" s="7" t="s">
        <v>19</v>
      </c>
      <c r="C33" s="4"/>
      <c r="D33" s="8"/>
      <c r="E33" s="6"/>
      <c r="F33" s="4"/>
      <c r="G33" s="5"/>
      <c r="H33" s="6"/>
      <c r="I33" s="4"/>
      <c r="J33" s="8"/>
      <c r="K33" s="6"/>
      <c r="L33" s="34"/>
      <c r="M33" s="2"/>
      <c r="N33" s="31"/>
      <c r="O33" s="3"/>
      <c r="P33" s="66"/>
      <c r="Q33" s="35" t="s">
        <v>19</v>
      </c>
      <c r="R33" s="55"/>
      <c r="S33" s="69"/>
      <c r="T33" s="33"/>
      <c r="U33" s="59"/>
      <c r="V33" s="55"/>
      <c r="W33" s="6"/>
      <c r="X33" s="66"/>
      <c r="Y33" s="35" t="s">
        <v>19</v>
      </c>
      <c r="Z33" s="55"/>
      <c r="AA33" s="69"/>
      <c r="AB33" s="33"/>
      <c r="AC33" s="59"/>
      <c r="AD33" s="55"/>
      <c r="AE33" s="6"/>
      <c r="AF33" s="66"/>
      <c r="AG33" s="35" t="s">
        <v>19</v>
      </c>
      <c r="AH33" s="55"/>
      <c r="AI33" s="69"/>
      <c r="AJ33" s="33"/>
      <c r="AK33" s="59"/>
      <c r="AL33" s="55"/>
      <c r="AM33" s="6"/>
      <c r="AN33" s="66"/>
      <c r="AO33" s="35" t="s">
        <v>19</v>
      </c>
      <c r="AP33" s="55"/>
      <c r="AQ33" s="69"/>
      <c r="AR33" s="9"/>
      <c r="AS33" s="10"/>
      <c r="AT33" s="11"/>
    </row>
    <row r="34" spans="1:46" ht="15" thickBot="1" x14ac:dyDescent="0.35">
      <c r="A34" s="64"/>
      <c r="B34" s="19" t="s">
        <v>20</v>
      </c>
      <c r="C34" s="20"/>
      <c r="D34" s="21"/>
      <c r="E34" s="22"/>
      <c r="F34" s="20"/>
      <c r="G34" s="23"/>
      <c r="H34" s="22"/>
      <c r="I34" s="20"/>
      <c r="J34" s="21"/>
      <c r="K34" s="22"/>
      <c r="L34" s="36"/>
      <c r="M34" s="36"/>
      <c r="N34" s="37"/>
      <c r="O34" s="38"/>
      <c r="P34" s="67"/>
      <c r="Q34" s="47" t="s">
        <v>20</v>
      </c>
      <c r="R34" s="21"/>
      <c r="S34" s="70"/>
      <c r="T34" s="36"/>
      <c r="U34" s="60"/>
      <c r="V34" s="21"/>
      <c r="W34" s="22"/>
      <c r="X34" s="67"/>
      <c r="Y34" s="47" t="s">
        <v>20</v>
      </c>
      <c r="Z34" s="21"/>
      <c r="AA34" s="70"/>
      <c r="AB34" s="36"/>
      <c r="AC34" s="60"/>
      <c r="AD34" s="21"/>
      <c r="AE34" s="22"/>
      <c r="AF34" s="67"/>
      <c r="AG34" s="47" t="s">
        <v>20</v>
      </c>
      <c r="AH34" s="21"/>
      <c r="AI34" s="70"/>
      <c r="AJ34" s="36"/>
      <c r="AK34" s="60"/>
      <c r="AL34" s="21"/>
      <c r="AM34" s="22"/>
      <c r="AN34" s="67"/>
      <c r="AO34" s="47" t="s">
        <v>20</v>
      </c>
      <c r="AP34" s="21"/>
      <c r="AQ34" s="70"/>
      <c r="AR34" s="24"/>
      <c r="AS34" s="25"/>
      <c r="AT34" s="26"/>
    </row>
    <row r="38" spans="1:46" x14ac:dyDescent="0.3">
      <c r="AA38" s="61"/>
    </row>
  </sheetData>
  <mergeCells count="110">
    <mergeCell ref="AN23:AN26"/>
    <mergeCell ref="AQ23:AQ26"/>
    <mergeCell ref="AN27:AN30"/>
    <mergeCell ref="AQ27:AQ30"/>
    <mergeCell ref="AN31:AN34"/>
    <mergeCell ref="AQ31:AQ34"/>
    <mergeCell ref="AN11:AN14"/>
    <mergeCell ref="AQ11:AQ14"/>
    <mergeCell ref="AN15:AN18"/>
    <mergeCell ref="AQ15:AQ18"/>
    <mergeCell ref="AN19:AN22"/>
    <mergeCell ref="AQ19:AQ22"/>
    <mergeCell ref="AN3:AN6"/>
    <mergeCell ref="AQ3:AQ6"/>
    <mergeCell ref="AN7:AN10"/>
    <mergeCell ref="AQ7:AQ10"/>
    <mergeCell ref="AJ19:AJ22"/>
    <mergeCell ref="AJ23:AJ26"/>
    <mergeCell ref="AJ27:AJ30"/>
    <mergeCell ref="AM19:AM22"/>
    <mergeCell ref="AM23:AM26"/>
    <mergeCell ref="AM27:AM30"/>
    <mergeCell ref="AF23:AF26"/>
    <mergeCell ref="AF27:AF30"/>
    <mergeCell ref="AF31:AF34"/>
    <mergeCell ref="AI3:AI6"/>
    <mergeCell ref="AI7:AI10"/>
    <mergeCell ref="AI11:AI14"/>
    <mergeCell ref="AI15:AI18"/>
    <mergeCell ref="AI19:AI22"/>
    <mergeCell ref="AI23:AI26"/>
    <mergeCell ref="AI27:AI30"/>
    <mergeCell ref="AI31:AI34"/>
    <mergeCell ref="AF3:AF6"/>
    <mergeCell ref="AF7:AF10"/>
    <mergeCell ref="AF11:AF14"/>
    <mergeCell ref="AF15:AF18"/>
    <mergeCell ref="AF19:AF22"/>
    <mergeCell ref="AB19:AB22"/>
    <mergeCell ref="AB23:AB26"/>
    <mergeCell ref="AB27:AB30"/>
    <mergeCell ref="AE19:AE22"/>
    <mergeCell ref="AE23:AE26"/>
    <mergeCell ref="AE27:AE30"/>
    <mergeCell ref="X23:X26"/>
    <mergeCell ref="X27:X30"/>
    <mergeCell ref="X31:X34"/>
    <mergeCell ref="AA3:AA6"/>
    <mergeCell ref="AA7:AA10"/>
    <mergeCell ref="AA11:AA14"/>
    <mergeCell ref="AA15:AA18"/>
    <mergeCell ref="AA19:AA22"/>
    <mergeCell ref="AA23:AA26"/>
    <mergeCell ref="AA27:AA30"/>
    <mergeCell ref="AA31:AA34"/>
    <mergeCell ref="X3:X6"/>
    <mergeCell ref="X7:X10"/>
    <mergeCell ref="X11:X14"/>
    <mergeCell ref="X15:X18"/>
    <mergeCell ref="X19:X22"/>
    <mergeCell ref="T19:T22"/>
    <mergeCell ref="T23:T26"/>
    <mergeCell ref="T27:T30"/>
    <mergeCell ref="W19:W22"/>
    <mergeCell ref="W23:W26"/>
    <mergeCell ref="W27:W30"/>
    <mergeCell ref="L1:O1"/>
    <mergeCell ref="C1:E1"/>
    <mergeCell ref="F1:H1"/>
    <mergeCell ref="A1:A2"/>
    <mergeCell ref="B1:B2"/>
    <mergeCell ref="I1:K1"/>
    <mergeCell ref="AJ1:AM1"/>
    <mergeCell ref="AN1:AQ1"/>
    <mergeCell ref="AR1:AT1"/>
    <mergeCell ref="P1:S1"/>
    <mergeCell ref="T1:W1"/>
    <mergeCell ref="X1:AA1"/>
    <mergeCell ref="AB1:AE1"/>
    <mergeCell ref="AF1:AI1"/>
    <mergeCell ref="L19:L22"/>
    <mergeCell ref="L23:L26"/>
    <mergeCell ref="L27:L30"/>
    <mergeCell ref="O19:O22"/>
    <mergeCell ref="O23:O26"/>
    <mergeCell ref="O27:O30"/>
    <mergeCell ref="P23:P26"/>
    <mergeCell ref="P31:P34"/>
    <mergeCell ref="P27:P30"/>
    <mergeCell ref="S31:S34"/>
    <mergeCell ref="S3:S6"/>
    <mergeCell ref="S7:S10"/>
    <mergeCell ref="S11:S14"/>
    <mergeCell ref="S15:S18"/>
    <mergeCell ref="S19:S22"/>
    <mergeCell ref="S23:S26"/>
    <mergeCell ref="S27:S30"/>
    <mergeCell ref="P3:P6"/>
    <mergeCell ref="P7:P10"/>
    <mergeCell ref="P11:P14"/>
    <mergeCell ref="P15:P18"/>
    <mergeCell ref="P19:P22"/>
    <mergeCell ref="A23:A26"/>
    <mergeCell ref="A27:A30"/>
    <mergeCell ref="A31:A34"/>
    <mergeCell ref="A3:A6"/>
    <mergeCell ref="A7:A10"/>
    <mergeCell ref="A11:A14"/>
    <mergeCell ref="A15:A18"/>
    <mergeCell ref="A19:A2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c5f3cc-cf29-4a03-92ae-b0e834fb8dd2" xsi:nil="true"/>
    <lcf76f155ced4ddcb4097134ff3c332f xmlns="1e429d1a-93aa-4678-b14b-ae216f5c865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AFF41AAC220946BD8BD18E628D6996" ma:contentTypeVersion="18" ma:contentTypeDescription="Crée un document." ma:contentTypeScope="" ma:versionID="bfe30fe4209e895408595a18757b78aa">
  <xsd:schema xmlns:xsd="http://www.w3.org/2001/XMLSchema" xmlns:xs="http://www.w3.org/2001/XMLSchema" xmlns:p="http://schemas.microsoft.com/office/2006/metadata/properties" xmlns:ns2="1e429d1a-93aa-4678-b14b-ae216f5c8657" xmlns:ns3="d8c1c133-17a7-4ee9-9e5f-b234bd9ba24f" xmlns:ns4="59c5f3cc-cf29-4a03-92ae-b0e834fb8dd2" targetNamespace="http://schemas.microsoft.com/office/2006/metadata/properties" ma:root="true" ma:fieldsID="574cb1f30319c7ecf16d525c78d95d2f" ns2:_="" ns3:_="" ns4:_="">
    <xsd:import namespace="1e429d1a-93aa-4678-b14b-ae216f5c8657"/>
    <xsd:import namespace="d8c1c133-17a7-4ee9-9e5f-b234bd9ba24f"/>
    <xsd:import namespace="59c5f3cc-cf29-4a03-92ae-b0e834fb8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29d1a-93aa-4678-b14b-ae216f5c86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56bf003b-7d36-48d1-887d-521dd48be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1c133-17a7-4ee9-9e5f-b234bd9ba24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5f3cc-cf29-4a03-92ae-b0e834fb8dd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5d7894d-5f97-4d97-9958-16f497e5cf67}" ma:internalName="TaxCatchAll" ma:showField="CatchAllData" ma:web="59c5f3cc-cf29-4a03-92ae-b0e834fb8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1413A8-AABE-4EB6-97B6-5A2C23596A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7F7777-83D1-45CE-974D-514E321B602C}">
  <ds:schemaRefs>
    <ds:schemaRef ds:uri="http://schemas.microsoft.com/office/2006/metadata/properties"/>
    <ds:schemaRef ds:uri="http://schemas.microsoft.com/office/infopath/2007/PartnerControls"/>
    <ds:schemaRef ds:uri="59c5f3cc-cf29-4a03-92ae-b0e834fb8dd2"/>
    <ds:schemaRef ds:uri="1e429d1a-93aa-4678-b14b-ae216f5c8657"/>
  </ds:schemaRefs>
</ds:datastoreItem>
</file>

<file path=customXml/itemProps3.xml><?xml version="1.0" encoding="utf-8"?>
<ds:datastoreItem xmlns:ds="http://schemas.openxmlformats.org/officeDocument/2006/customXml" ds:itemID="{C53029F9-AA4F-4DF5-A305-6FC1FEA24D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429d1a-93aa-4678-b14b-ae216f5c8657"/>
    <ds:schemaRef ds:uri="d8c1c133-17a7-4ee9-9e5f-b234bd9ba24f"/>
    <ds:schemaRef ds:uri="59c5f3cc-cf29-4a03-92ae-b0e834fb8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Lot 1 Fixe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RAMBAUD</dc:creator>
  <cp:lastModifiedBy>Mathieu RAMBAUD</cp:lastModifiedBy>
  <dcterms:created xsi:type="dcterms:W3CDTF">2025-03-14T17:15:02Z</dcterms:created>
  <dcterms:modified xsi:type="dcterms:W3CDTF">2025-11-17T15:47:56Z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0x010100F7AFF41AAC220946BD8BD18E628D6996</vt:lpwstr>
  </property>
  <property fmtid="{D5CDD505-2E9C-101B-9397-08002B2CF9AE}" pid="3" name="MediaServiceImageTags">
    <vt:lpwstr/>
  </property>
</Properties>
</file>